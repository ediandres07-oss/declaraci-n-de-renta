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codeName="ThisWorkbook" defaultThemeVersion="124226"/>
  <mc:AlternateContent xmlns:mc="http://schemas.openxmlformats.org/markup-compatibility/2006">
    <mc:Choice Requires="x15">
      <x15ac:absPath xmlns:x15ac="http://schemas.microsoft.com/office/spreadsheetml/2010/11/ac" url="/Users/cesarion/Desktop/"/>
    </mc:Choice>
  </mc:AlternateContent>
  <xr:revisionPtr revIDLastSave="0" documentId="8_{2A534F5C-B64D-A648-9C40-A140D072FFAA}" xr6:coauthVersionLast="47" xr6:coauthVersionMax="47" xr10:uidLastSave="{00000000-0000-0000-0000-000000000000}"/>
  <bookViews>
    <workbookView xWindow="0" yWindow="0" windowWidth="28800" windowHeight="18000" tabRatio="900" firstSheet="1" activeTab="3" xr2:uid="{00000000-000D-0000-FFFF-FFFF00000000}"/>
  </bookViews>
  <sheets>
    <sheet name="Calendario Tributario" sheetId="151" state="hidden" r:id="rId1"/>
    <sheet name="Datos del contribuyente" sheetId="144" r:id="rId2"/>
    <sheet name="FORMULARIO 210" sheetId="143" r:id="rId3"/>
    <sheet name="rta x comp patr" sheetId="129" r:id="rId4"/>
    <sheet name="Hoja1" sheetId="147" state="hidden" r:id="rId5"/>
    <sheet name="Pat bruto" sheetId="130" r:id="rId6"/>
    <sheet name="EXOGENA 2025" sheetId="153" r:id="rId7"/>
    <sheet name="Sheet1" sheetId="137" state="hidden" r:id="rId8"/>
    <sheet name="Deudas" sheetId="134" r:id="rId9"/>
    <sheet name="R.trabajo y honorarios" sheetId="118" r:id="rId10"/>
    <sheet name="Dependientes " sheetId="148" r:id="rId11"/>
    <sheet name="Fac. Elctrónicas" sheetId="149" r:id="rId12"/>
    <sheet name="R.capital" sheetId="124" r:id="rId13"/>
    <sheet name="tabl int presunt" sheetId="132" r:id="rId14"/>
    <sheet name="R.no laboral y R gravables" sheetId="126" r:id="rId15"/>
    <sheet name="G.OCAS" sheetId="146" r:id="rId16"/>
    <sheet name="REAJUST FISCAL" sheetId="152" state="hidden" r:id="rId17"/>
    <sheet name="C.pensiones" sheetId="125" r:id="rId18"/>
    <sheet name="renta presunt" sheetId="46" r:id="rId19"/>
    <sheet name="C divid." sheetId="127" r:id="rId20"/>
    <sheet name="impto renta" sheetId="71" state="hidden" r:id="rId21"/>
    <sheet name="dtos tribut" sheetId="116" r:id="rId22"/>
    <sheet name="retefuente" sheetId="18" r:id="rId23"/>
    <sheet name="anticipo" sheetId="133" r:id="rId24"/>
  </sheets>
  <externalReferences>
    <externalReference r:id="rId25"/>
  </externalReferences>
  <definedNames>
    <definedName name="_REN60">'[1]imp g.o.'!#REF!</definedName>
    <definedName name="_UVT2010">#REF!</definedName>
    <definedName name="ANEXOS">#REF!</definedName>
    <definedName name="ANEXOS4">#REF!</definedName>
    <definedName name="_xlnm.Print_Area" localSheetId="23">anticipo!$B$1:$E$40</definedName>
    <definedName name="_xlnm.Print_Area" localSheetId="19">'C divid.'!$B$1:$F$47</definedName>
    <definedName name="_xlnm.Print_Area" localSheetId="17">'C.pensiones'!$B$1:$F$31</definedName>
    <definedName name="_xlnm.Print_Area" localSheetId="21">'dtos tribut'!$B$1:$E$18</definedName>
    <definedName name="_xlnm.Print_Area" localSheetId="20">'impto renta'!#REF!</definedName>
    <definedName name="_xlnm.Print_Area" localSheetId="5">'Pat bruto'!$A$1:$J$121</definedName>
    <definedName name="_xlnm.Print_Area" localSheetId="12">'R.capital'!$B$1:$G$68</definedName>
    <definedName name="_xlnm.Print_Area" localSheetId="14">'R.no laboral y R gravables'!$A$1:$G$88</definedName>
    <definedName name="_xlnm.Print_Area" localSheetId="18">'renta presunt'!$B$1:$I$17</definedName>
    <definedName name="BALANCE1">#REF!</definedName>
    <definedName name="COD_REPRES">#N/A</definedName>
    <definedName name="dirmanualuser">#REF!</definedName>
    <definedName name="ESTADO">#REF!</definedName>
    <definedName name="SALDOS">#REF!</definedName>
    <definedName name="validalo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4" i="129" l="1"/>
  <c r="D28" i="149"/>
  <c r="H3" i="118"/>
  <c r="G116" i="130"/>
  <c r="G115" i="130"/>
  <c r="G114" i="130"/>
  <c r="G113" i="130"/>
  <c r="G112" i="130"/>
  <c r="G111" i="130"/>
  <c r="G110" i="130"/>
  <c r="G109" i="130"/>
  <c r="G108" i="130"/>
  <c r="G107" i="130"/>
  <c r="G106" i="130"/>
  <c r="F41" i="146"/>
  <c r="F27" i="146"/>
  <c r="F13" i="146"/>
  <c r="C7" i="129"/>
  <c r="C120" i="151"/>
  <c r="C119" i="151"/>
  <c r="C118" i="151"/>
  <c r="C117" i="151"/>
  <c r="C116" i="151"/>
  <c r="C115" i="151"/>
  <c r="C114" i="151"/>
  <c r="C113" i="151"/>
  <c r="C112" i="151"/>
  <c r="C111" i="151"/>
  <c r="C110" i="151"/>
  <c r="C109" i="151"/>
  <c r="C108" i="151"/>
  <c r="C107" i="151"/>
  <c r="C106" i="151"/>
  <c r="C105" i="151"/>
  <c r="C104" i="151"/>
  <c r="C103" i="151"/>
  <c r="C102" i="151"/>
  <c r="C101" i="151"/>
  <c r="C100" i="151"/>
  <c r="C99" i="151"/>
  <c r="C98" i="151"/>
  <c r="C97" i="151"/>
  <c r="C96" i="151"/>
  <c r="C95" i="151"/>
  <c r="C94" i="151"/>
  <c r="C93" i="151"/>
  <c r="C92" i="151"/>
  <c r="C91" i="151"/>
  <c r="C90" i="151"/>
  <c r="C89" i="151"/>
  <c r="C88" i="151"/>
  <c r="C87" i="151"/>
  <c r="C86" i="151"/>
  <c r="C85" i="151"/>
  <c r="C84" i="151"/>
  <c r="C83" i="151"/>
  <c r="C82" i="151"/>
  <c r="C81" i="151"/>
  <c r="C79" i="151"/>
  <c r="C77" i="151"/>
  <c r="C75" i="151"/>
  <c r="C73" i="151"/>
  <c r="C71" i="151"/>
  <c r="C69" i="151"/>
  <c r="C67" i="151"/>
  <c r="C66" i="151"/>
  <c r="C65" i="151"/>
  <c r="C64" i="151"/>
  <c r="C63" i="151"/>
  <c r="C61" i="151"/>
  <c r="C59" i="151"/>
  <c r="C62" i="151"/>
  <c r="C60" i="151"/>
  <c r="C58" i="151"/>
  <c r="C57" i="151"/>
  <c r="C56" i="151"/>
  <c r="C55" i="151"/>
  <c r="C54" i="151"/>
  <c r="C53" i="151"/>
  <c r="C52" i="151"/>
  <c r="C51" i="151"/>
  <c r="C50" i="151"/>
  <c r="C49" i="151"/>
  <c r="C48" i="151"/>
  <c r="C47" i="151"/>
  <c r="C46" i="151"/>
  <c r="C45" i="151"/>
  <c r="C44" i="151"/>
  <c r="C43" i="151"/>
  <c r="C42" i="151"/>
  <c r="C41" i="151"/>
  <c r="C40" i="151"/>
  <c r="C39" i="151"/>
  <c r="C38" i="151"/>
  <c r="C37" i="151"/>
  <c r="C36" i="151"/>
  <c r="C35" i="151"/>
  <c r="C34" i="151"/>
  <c r="C33" i="151"/>
  <c r="C32" i="151"/>
  <c r="C31" i="151"/>
  <c r="C30" i="151"/>
  <c r="C29" i="151"/>
  <c r="C28" i="151"/>
  <c r="C27" i="151"/>
  <c r="C25" i="151"/>
  <c r="C24" i="151"/>
  <c r="C23" i="151"/>
  <c r="C22" i="151"/>
  <c r="C21" i="151"/>
  <c r="C15" i="144"/>
  <c r="D7" i="18"/>
  <c r="E12" i="127"/>
  <c r="F39" i="126"/>
  <c r="F29" i="126"/>
  <c r="F28" i="126"/>
  <c r="G6" i="118"/>
  <c r="D64" i="130"/>
  <c r="D8" i="130"/>
  <c r="I139" i="152"/>
  <c r="D175" i="152" s="1"/>
  <c r="I140" i="152"/>
  <c r="L140" i="152"/>
  <c r="G31" i="146"/>
  <c r="I69" i="152"/>
  <c r="I70" i="152"/>
  <c r="L70" i="152"/>
  <c r="M70" i="152" s="1"/>
  <c r="I11" i="152"/>
  <c r="J11" i="152" s="1"/>
  <c r="L11" i="152" s="1"/>
  <c r="M11" i="152" s="1"/>
  <c r="N11" i="152" s="1"/>
  <c r="I12" i="152"/>
  <c r="L12" i="152"/>
  <c r="M12" i="152" s="1"/>
  <c r="F42" i="146" l="1"/>
  <c r="F28" i="146"/>
  <c r="M140" i="152"/>
  <c r="C80" i="151"/>
  <c r="C78" i="151"/>
  <c r="C76" i="151"/>
  <c r="C74" i="151"/>
  <c r="C72" i="151"/>
  <c r="C70" i="151"/>
  <c r="C68" i="151"/>
  <c r="C26" i="151"/>
  <c r="J139" i="152"/>
  <c r="L139" i="152" s="1"/>
  <c r="M139" i="152" s="1"/>
  <c r="N139" i="152" s="1"/>
  <c r="D127" i="152"/>
  <c r="E127" i="152" s="1"/>
  <c r="F127" i="152" s="1"/>
  <c r="D128" i="152" s="1"/>
  <c r="D65" i="152"/>
  <c r="E65" i="152" s="1"/>
  <c r="F65" i="152" s="1"/>
  <c r="D66" i="152" s="1"/>
  <c r="E66" i="152" s="1"/>
  <c r="J69" i="152"/>
  <c r="L69" i="152" s="1"/>
  <c r="D5" i="152"/>
  <c r="F14" i="146"/>
  <c r="E86" i="146"/>
  <c r="M69" i="152" l="1"/>
  <c r="E5" i="152"/>
  <c r="F5" i="152" s="1"/>
  <c r="E128" i="152" l="1"/>
  <c r="F128" i="152" s="1"/>
  <c r="N69" i="152"/>
  <c r="D6" i="152"/>
  <c r="E6" i="152" s="1"/>
  <c r="F6" i="152" s="1"/>
  <c r="F66" i="152"/>
  <c r="D67" i="152" s="1"/>
  <c r="E67" i="152" s="1"/>
  <c r="D129" i="152" l="1"/>
  <c r="E129" i="152" s="1"/>
  <c r="D7" i="152"/>
  <c r="E7" i="152" s="1"/>
  <c r="F67" i="152"/>
  <c r="D68" i="152" s="1"/>
  <c r="E68" i="152" s="1"/>
  <c r="F129" i="152" l="1"/>
  <c r="D130" i="152" s="1"/>
  <c r="E130" i="152" s="1"/>
  <c r="F130" i="152" s="1"/>
  <c r="D131" i="152" s="1"/>
  <c r="I175" i="152"/>
  <c r="F7" i="152"/>
  <c r="D8" i="152" s="1"/>
  <c r="E8" i="152" s="1"/>
  <c r="F8" i="152" s="1"/>
  <c r="F68" i="152"/>
  <c r="D69" i="152" s="1"/>
  <c r="E69" i="152" s="1"/>
  <c r="E131" i="152" l="1"/>
  <c r="F131" i="152" s="1"/>
  <c r="D132" i="152" s="1"/>
  <c r="D9" i="152"/>
  <c r="E9" i="152" s="1"/>
  <c r="F69" i="152"/>
  <c r="D70" i="152" s="1"/>
  <c r="E70" i="152" s="1"/>
  <c r="E132" i="152" l="1"/>
  <c r="F132" i="152" s="1"/>
  <c r="D133" i="152" s="1"/>
  <c r="F9" i="152"/>
  <c r="D10" i="152" s="1"/>
  <c r="E10" i="152" s="1"/>
  <c r="E133" i="152" l="1"/>
  <c r="F133" i="152" s="1"/>
  <c r="D134" i="152" s="1"/>
  <c r="F10" i="152"/>
  <c r="D11" i="152" s="1"/>
  <c r="E11" i="152" s="1"/>
  <c r="F11" i="152" s="1"/>
  <c r="F70" i="152"/>
  <c r="D71" i="152" s="1"/>
  <c r="E134" i="152" l="1"/>
  <c r="F134" i="152" s="1"/>
  <c r="D135" i="152" s="1"/>
  <c r="E71" i="152"/>
  <c r="F71" i="152" s="1"/>
  <c r="D72" i="152" s="1"/>
  <c r="D12" i="152"/>
  <c r="E12" i="152" s="1"/>
  <c r="E135" i="152" l="1"/>
  <c r="F135" i="152" s="1"/>
  <c r="D136" i="152" s="1"/>
  <c r="F12" i="152"/>
  <c r="D13" i="152" s="1"/>
  <c r="E72" i="152"/>
  <c r="F72" i="152" s="1"/>
  <c r="D73" i="152" s="1"/>
  <c r="E73" i="152" s="1"/>
  <c r="E136" i="152" l="1"/>
  <c r="F136" i="152" s="1"/>
  <c r="D137" i="152" s="1"/>
  <c r="F73" i="152"/>
  <c r="D74" i="152" s="1"/>
  <c r="E74" i="152" s="1"/>
  <c r="E13" i="152"/>
  <c r="F13" i="152" s="1"/>
  <c r="E137" i="152" l="1"/>
  <c r="F137" i="152" s="1"/>
  <c r="D138" i="152" s="1"/>
  <c r="D14" i="152"/>
  <c r="F74" i="152"/>
  <c r="D75" i="152" s="1"/>
  <c r="E75" i="152" s="1"/>
  <c r="E138" i="152" l="1"/>
  <c r="F138" i="152" s="1"/>
  <c r="D139" i="152" s="1"/>
  <c r="E14" i="152"/>
  <c r="F14" i="152" s="1"/>
  <c r="E139" i="152" l="1"/>
  <c r="F139" i="152" s="1"/>
  <c r="D140" i="152" s="1"/>
  <c r="D15" i="152"/>
  <c r="F75" i="152"/>
  <c r="D76" i="152" s="1"/>
  <c r="E76" i="152" s="1"/>
  <c r="E140" i="152" l="1"/>
  <c r="F140" i="152" s="1"/>
  <c r="D141" i="152" s="1"/>
  <c r="E15" i="152"/>
  <c r="F15" i="152" s="1"/>
  <c r="E141" i="152" l="1"/>
  <c r="F141" i="152" s="1"/>
  <c r="D142" i="152" s="1"/>
  <c r="D16" i="152"/>
  <c r="F76" i="152"/>
  <c r="D77" i="152" s="1"/>
  <c r="E77" i="152" s="1"/>
  <c r="E142" i="152" l="1"/>
  <c r="E16" i="152"/>
  <c r="F16" i="152" s="1"/>
  <c r="F142" i="152" l="1"/>
  <c r="D143" i="152" s="1"/>
  <c r="D17" i="152"/>
  <c r="F77" i="152"/>
  <c r="D78" i="152" s="1"/>
  <c r="E78" i="152" s="1"/>
  <c r="E143" i="152" l="1"/>
  <c r="F143" i="152" s="1"/>
  <c r="D144" i="152" s="1"/>
  <c r="E17" i="152"/>
  <c r="F17" i="152" s="1"/>
  <c r="E144" i="152" l="1"/>
  <c r="F144" i="152" s="1"/>
  <c r="D145" i="152" s="1"/>
  <c r="D18" i="152"/>
  <c r="F78" i="152"/>
  <c r="D79" i="152" s="1"/>
  <c r="E79" i="152" s="1"/>
  <c r="E145" i="152" l="1"/>
  <c r="F145" i="152" s="1"/>
  <c r="D146" i="152" s="1"/>
  <c r="E18" i="152"/>
  <c r="F18" i="152" s="1"/>
  <c r="E146" i="152" l="1"/>
  <c r="F146" i="152" s="1"/>
  <c r="D147" i="152" s="1"/>
  <c r="D19" i="152"/>
  <c r="F79" i="152"/>
  <c r="D80" i="152" s="1"/>
  <c r="E80" i="152" s="1"/>
  <c r="E147" i="152" l="1"/>
  <c r="F147" i="152" s="1"/>
  <c r="D148" i="152" s="1"/>
  <c r="E19" i="152"/>
  <c r="F19" i="152" s="1"/>
  <c r="E148" i="152" l="1"/>
  <c r="F148" i="152" s="1"/>
  <c r="D149" i="152" s="1"/>
  <c r="D20" i="152"/>
  <c r="E149" i="152" l="1"/>
  <c r="F80" i="152"/>
  <c r="D81" i="152" s="1"/>
  <c r="E81" i="152" s="1"/>
  <c r="E20" i="152"/>
  <c r="F20" i="152" s="1"/>
  <c r="F149" i="152" l="1"/>
  <c r="D150" i="152" s="1"/>
  <c r="E150" i="152"/>
  <c r="D21" i="152"/>
  <c r="F81" i="152"/>
  <c r="D82" i="152" s="1"/>
  <c r="E82" i="152" s="1"/>
  <c r="F150" i="152" l="1"/>
  <c r="D151" i="152" s="1"/>
  <c r="E151" i="152"/>
  <c r="F151" i="152" s="1"/>
  <c r="D152" i="152" s="1"/>
  <c r="E21" i="152"/>
  <c r="F21" i="152" s="1"/>
  <c r="E152" i="152" l="1"/>
  <c r="F152" i="152" s="1"/>
  <c r="D153" i="152" s="1"/>
  <c r="F82" i="152"/>
  <c r="D83" i="152" s="1"/>
  <c r="E83" i="152" s="1"/>
  <c r="D22" i="152"/>
  <c r="E153" i="152" l="1"/>
  <c r="F153" i="152" s="1"/>
  <c r="D154" i="152" s="1"/>
  <c r="E154" i="152"/>
  <c r="F154" i="152" s="1"/>
  <c r="D155" i="152" s="1"/>
  <c r="E22" i="152"/>
  <c r="F22" i="152" s="1"/>
  <c r="I154" i="152" l="1"/>
  <c r="E155" i="152"/>
  <c r="I155" i="152"/>
  <c r="F155" i="152"/>
  <c r="D156" i="152" s="1"/>
  <c r="D23" i="152"/>
  <c r="E23" i="152" s="1"/>
  <c r="F23" i="152" s="1"/>
  <c r="F83" i="152"/>
  <c r="D84" i="152" s="1"/>
  <c r="E84" i="152" s="1"/>
  <c r="E156" i="152" l="1"/>
  <c r="F156" i="152" s="1"/>
  <c r="D157" i="152" s="1"/>
  <c r="I156" i="152"/>
  <c r="D24" i="152"/>
  <c r="E24" i="152" s="1"/>
  <c r="F24" i="152" s="1"/>
  <c r="F84" i="152"/>
  <c r="D85" i="152" s="1"/>
  <c r="E85" i="152" s="1"/>
  <c r="E157" i="152" l="1"/>
  <c r="F157" i="152" s="1"/>
  <c r="D158" i="152" s="1"/>
  <c r="I157" i="152"/>
  <c r="D25" i="152"/>
  <c r="F85" i="152"/>
  <c r="D86" i="152" s="1"/>
  <c r="E86" i="152" s="1"/>
  <c r="E158" i="152" l="1"/>
  <c r="I158" i="152"/>
  <c r="F158" i="152"/>
  <c r="D159" i="152" s="1"/>
  <c r="E25" i="152"/>
  <c r="F25" i="152" s="1"/>
  <c r="E159" i="152" l="1"/>
  <c r="F159" i="152" s="1"/>
  <c r="D160" i="152" s="1"/>
  <c r="I159" i="152"/>
  <c r="D26" i="152"/>
  <c r="E160" i="152" l="1"/>
  <c r="F160" i="152" s="1"/>
  <c r="D161" i="152" s="1"/>
  <c r="I160" i="152"/>
  <c r="F86" i="152"/>
  <c r="D87" i="152" s="1"/>
  <c r="E87" i="152" s="1"/>
  <c r="E26" i="152"/>
  <c r="F26" i="152" s="1"/>
  <c r="E161" i="152" l="1"/>
  <c r="F161" i="152" s="1"/>
  <c r="D162" i="152" s="1"/>
  <c r="D27" i="152"/>
  <c r="E162" i="152" l="1"/>
  <c r="I162" i="152"/>
  <c r="F87" i="152"/>
  <c r="D88" i="152" s="1"/>
  <c r="E88" i="152" s="1"/>
  <c r="E27" i="152"/>
  <c r="F27" i="152" s="1"/>
  <c r="F162" i="152" l="1"/>
  <c r="D163" i="152" s="1"/>
  <c r="D28" i="152"/>
  <c r="E163" i="152" l="1"/>
  <c r="F163" i="152" s="1"/>
  <c r="D164" i="152" s="1"/>
  <c r="I163" i="152"/>
  <c r="F88" i="152"/>
  <c r="D89" i="152" s="1"/>
  <c r="E89" i="152" s="1"/>
  <c r="E28" i="152"/>
  <c r="F28" i="152" s="1"/>
  <c r="E164" i="152" l="1"/>
  <c r="F164" i="152" s="1"/>
  <c r="D165" i="152" s="1"/>
  <c r="I164" i="152"/>
  <c r="D29" i="152"/>
  <c r="F89" i="152"/>
  <c r="D90" i="152" s="1"/>
  <c r="E90" i="152" s="1"/>
  <c r="E165" i="152" l="1"/>
  <c r="F165" i="152" s="1"/>
  <c r="D166" i="152" s="1"/>
  <c r="I165" i="152"/>
  <c r="E29" i="152"/>
  <c r="F29" i="152" s="1"/>
  <c r="E166" i="152" l="1"/>
  <c r="F166" i="152" s="1"/>
  <c r="D167" i="152" s="1"/>
  <c r="I166" i="152"/>
  <c r="D30" i="152"/>
  <c r="F90" i="152"/>
  <c r="D91" i="152" s="1"/>
  <c r="E91" i="152" s="1"/>
  <c r="E167" i="152" l="1"/>
  <c r="F167" i="152" s="1"/>
  <c r="D168" i="152" s="1"/>
  <c r="I167" i="152"/>
  <c r="E30" i="152"/>
  <c r="F30" i="152" s="1"/>
  <c r="E168" i="152" l="1"/>
  <c r="I168" i="152"/>
  <c r="D31" i="152"/>
  <c r="F91" i="152"/>
  <c r="D92" i="152" s="1"/>
  <c r="E92" i="152" s="1"/>
  <c r="F168" i="152" l="1"/>
  <c r="D169" i="152" s="1"/>
  <c r="E31" i="152"/>
  <c r="F31" i="152" s="1"/>
  <c r="E169" i="152" l="1"/>
  <c r="F169" i="152" s="1"/>
  <c r="D170" i="152" s="1"/>
  <c r="I169" i="152"/>
  <c r="E170" i="152"/>
  <c r="F170" i="152" s="1"/>
  <c r="D171" i="152" s="1"/>
  <c r="D32" i="152"/>
  <c r="I170" i="152" l="1"/>
  <c r="E171" i="152"/>
  <c r="I171" i="152"/>
  <c r="F92" i="152"/>
  <c r="D93" i="152" s="1"/>
  <c r="E93" i="152" s="1"/>
  <c r="I92" i="152"/>
  <c r="E32" i="152"/>
  <c r="F32" i="152" s="1"/>
  <c r="I32" i="152"/>
  <c r="F171" i="152" l="1"/>
  <c r="D172" i="152" s="1"/>
  <c r="D33" i="152"/>
  <c r="I172" i="152" l="1"/>
  <c r="E172" i="152"/>
  <c r="F172" i="152" s="1"/>
  <c r="D173" i="152" s="1"/>
  <c r="I93" i="152"/>
  <c r="F93" i="152"/>
  <c r="D94" i="152" s="1"/>
  <c r="E94" i="152" s="1"/>
  <c r="E33" i="152"/>
  <c r="F33" i="152" s="1"/>
  <c r="I33" i="152"/>
  <c r="E173" i="152" l="1"/>
  <c r="I173" i="152"/>
  <c r="D34" i="152"/>
  <c r="F173" i="152" l="1"/>
  <c r="D174" i="152" s="1"/>
  <c r="E174" i="152"/>
  <c r="F174" i="152" s="1"/>
  <c r="E175" i="152" s="1"/>
  <c r="F175" i="152" s="1"/>
  <c r="I94" i="152"/>
  <c r="F94" i="152"/>
  <c r="D95" i="152" s="1"/>
  <c r="E95" i="152" s="1"/>
  <c r="I34" i="152"/>
  <c r="E34" i="152"/>
  <c r="F34" i="152" s="1"/>
  <c r="C4" i="148"/>
  <c r="G23" i="118"/>
  <c r="G21" i="118"/>
  <c r="I174" i="152" l="1"/>
  <c r="D176" i="152"/>
  <c r="D35" i="152"/>
  <c r="G18" i="126"/>
  <c r="G3" i="126"/>
  <c r="F6" i="132"/>
  <c r="C10" i="148" a="1"/>
  <c r="C9" i="148" a="1"/>
  <c r="C8" i="148" a="1"/>
  <c r="C7" i="148" a="1"/>
  <c r="D12" i="148"/>
  <c r="O12" i="143"/>
  <c r="J12" i="143"/>
  <c r="F12" i="143"/>
  <c r="Z10" i="143"/>
  <c r="V10" i="143"/>
  <c r="Q10" i="143"/>
  <c r="L10" i="143"/>
  <c r="K10" i="143"/>
  <c r="C10" i="143"/>
  <c r="F84" i="130"/>
  <c r="E176" i="152" l="1"/>
  <c r="F176" i="152" s="1"/>
  <c r="I176" i="152"/>
  <c r="I95" i="152"/>
  <c r="F95" i="152"/>
  <c r="D96" i="152" s="1"/>
  <c r="E96" i="152" s="1"/>
  <c r="I35" i="152"/>
  <c r="E35" i="152"/>
  <c r="F35" i="152" s="1"/>
  <c r="D4" i="149"/>
  <c r="D27" i="149" s="1"/>
  <c r="D29" i="149" s="1"/>
  <c r="D177" i="152" l="1"/>
  <c r="E177" i="152" s="1"/>
  <c r="D36" i="152"/>
  <c r="D3" i="149"/>
  <c r="D8" i="149"/>
  <c r="E87" i="146"/>
  <c r="D68" i="146"/>
  <c r="G10" i="146"/>
  <c r="E84" i="146"/>
  <c r="D78" i="146" s="1"/>
  <c r="D67" i="146"/>
  <c r="D94" i="146" s="1"/>
  <c r="I5" i="137"/>
  <c r="K7" i="137"/>
  <c r="AJ17" i="143"/>
  <c r="F52" i="143"/>
  <c r="I177" i="152" l="1"/>
  <c r="F177" i="152"/>
  <c r="D178" i="152" s="1"/>
  <c r="F96" i="152"/>
  <c r="D97" i="152" s="1"/>
  <c r="E97" i="152" s="1"/>
  <c r="I96" i="152"/>
  <c r="I36" i="152"/>
  <c r="E36" i="152"/>
  <c r="F36" i="152" s="1"/>
  <c r="F17" i="127"/>
  <c r="Y38" i="143"/>
  <c r="E178" i="152" l="1"/>
  <c r="D37" i="152"/>
  <c r="D5" i="149"/>
  <c r="D6" i="149"/>
  <c r="D7" i="149"/>
  <c r="D9" i="149"/>
  <c r="D10" i="149"/>
  <c r="D11" i="149"/>
  <c r="D12" i="149"/>
  <c r="D13" i="149"/>
  <c r="D14" i="149"/>
  <c r="D15" i="149"/>
  <c r="D16" i="149"/>
  <c r="D17" i="149"/>
  <c r="D18" i="149"/>
  <c r="D19" i="149"/>
  <c r="D20" i="149"/>
  <c r="D21" i="149"/>
  <c r="D22" i="149"/>
  <c r="D23" i="149"/>
  <c r="D24" i="149"/>
  <c r="D25" i="149"/>
  <c r="D26" i="149"/>
  <c r="F178" i="152" l="1"/>
  <c r="F179" i="152" s="1"/>
  <c r="I97" i="152"/>
  <c r="F97" i="152"/>
  <c r="D98" i="152" s="1"/>
  <c r="E98" i="152" s="1"/>
  <c r="I37" i="152"/>
  <c r="E37" i="152"/>
  <c r="F37" i="152" s="1"/>
  <c r="AB12" i="143"/>
  <c r="D2" i="134"/>
  <c r="K14" i="137"/>
  <c r="H108" i="130"/>
  <c r="I108" i="130" s="1"/>
  <c r="H109" i="130"/>
  <c r="I109" i="130" s="1"/>
  <c r="H110" i="130"/>
  <c r="I110" i="130" s="1"/>
  <c r="H111" i="130"/>
  <c r="I111" i="130" s="1"/>
  <c r="H112" i="130"/>
  <c r="I112" i="130" s="1"/>
  <c r="H113" i="130"/>
  <c r="I113" i="130" s="1"/>
  <c r="H114" i="130"/>
  <c r="I114" i="130" s="1"/>
  <c r="H116" i="130"/>
  <c r="I116" i="130" s="1"/>
  <c r="H106" i="130"/>
  <c r="I106" i="130" s="1"/>
  <c r="B80" i="137"/>
  <c r="S6" i="137"/>
  <c r="S14" i="137" s="1"/>
  <c r="S21" i="137" s="1"/>
  <c r="K12" i="137"/>
  <c r="K11" i="137"/>
  <c r="K10" i="137"/>
  <c r="K9" i="137"/>
  <c r="K8" i="137"/>
  <c r="I12" i="137"/>
  <c r="I11" i="137"/>
  <c r="I10" i="137"/>
  <c r="I9" i="137"/>
  <c r="I8" i="137"/>
  <c r="I7" i="137"/>
  <c r="M9" i="118"/>
  <c r="F92" i="130"/>
  <c r="G92" i="130" s="1"/>
  <c r="I92" i="130" s="1"/>
  <c r="J92" i="130" s="1"/>
  <c r="F91" i="130"/>
  <c r="G91" i="130" s="1"/>
  <c r="I91" i="130" s="1"/>
  <c r="J91" i="130" s="1"/>
  <c r="F90" i="130"/>
  <c r="G90" i="130" s="1"/>
  <c r="I90" i="130" s="1"/>
  <c r="J90" i="130" s="1"/>
  <c r="F89" i="130"/>
  <c r="G89" i="130" s="1"/>
  <c r="I89" i="130" s="1"/>
  <c r="J89" i="130" s="1"/>
  <c r="F88" i="130"/>
  <c r="G88" i="130" s="1"/>
  <c r="I88" i="130" s="1"/>
  <c r="J88" i="130" s="1"/>
  <c r="F96" i="130"/>
  <c r="G96" i="130" s="1"/>
  <c r="I96" i="130" s="1"/>
  <c r="J96" i="130" s="1"/>
  <c r="Z20" i="143"/>
  <c r="E88" i="146"/>
  <c r="E85" i="146"/>
  <c r="D79" i="146" s="1"/>
  <c r="F84" i="146"/>
  <c r="H74" i="146"/>
  <c r="G74" i="146"/>
  <c r="F74" i="146"/>
  <c r="F76" i="146" s="1"/>
  <c r="E74" i="146"/>
  <c r="E76" i="146" s="1"/>
  <c r="D74" i="146"/>
  <c r="D76" i="146" s="1"/>
  <c r="D98" i="146"/>
  <c r="G38" i="146"/>
  <c r="H75" i="146" s="1"/>
  <c r="G24" i="146"/>
  <c r="E26" i="125"/>
  <c r="L34" i="118"/>
  <c r="L48" i="118" s="1"/>
  <c r="S29" i="137"/>
  <c r="S23" i="137"/>
  <c r="S16" i="137"/>
  <c r="S8" i="137"/>
  <c r="X14" i="137"/>
  <c r="W14" i="137"/>
  <c r="V14" i="137"/>
  <c r="U14" i="137"/>
  <c r="E20" i="116"/>
  <c r="Y44" i="143" s="1"/>
  <c r="L71" i="118"/>
  <c r="M30" i="143" s="1"/>
  <c r="J74" i="137"/>
  <c r="J71" i="137"/>
  <c r="I71" i="137"/>
  <c r="I74" i="137" s="1"/>
  <c r="J69" i="137"/>
  <c r="J61" i="137"/>
  <c r="J45" i="137"/>
  <c r="G65" i="118"/>
  <c r="J60" i="137" s="1"/>
  <c r="J52" i="137"/>
  <c r="J43" i="137"/>
  <c r="G63" i="118"/>
  <c r="J44" i="137" s="1"/>
  <c r="L4" i="118"/>
  <c r="M15" i="143" s="1"/>
  <c r="AJ4" i="143" s="1"/>
  <c r="K66" i="118"/>
  <c r="D9" i="71"/>
  <c r="E3" i="18"/>
  <c r="Y47" i="143"/>
  <c r="Y46" i="143"/>
  <c r="G66" i="124"/>
  <c r="S30" i="143" s="1"/>
  <c r="G80" i="126"/>
  <c r="Z30" i="143" s="1"/>
  <c r="Z22" i="143"/>
  <c r="G73" i="126"/>
  <c r="F73" i="130"/>
  <c r="G73" i="130" s="1"/>
  <c r="H73" i="130" s="1"/>
  <c r="F72" i="130"/>
  <c r="G72" i="130" s="1"/>
  <c r="H72" i="130" s="1"/>
  <c r="F71" i="130"/>
  <c r="G71" i="130" s="1"/>
  <c r="H71" i="130" s="1"/>
  <c r="F70" i="130"/>
  <c r="G70" i="130" s="1"/>
  <c r="H70" i="130" s="1"/>
  <c r="G83" i="126"/>
  <c r="L33" i="143"/>
  <c r="F54" i="118"/>
  <c r="AJ14" i="143" s="1"/>
  <c r="AJ19" i="143" s="1"/>
  <c r="F64" i="130"/>
  <c r="G64" i="130" s="1"/>
  <c r="H64" i="130" s="1"/>
  <c r="F53" i="118"/>
  <c r="K19" i="137" s="1"/>
  <c r="F52" i="118"/>
  <c r="K18" i="137" s="1"/>
  <c r="F78" i="130"/>
  <c r="G78" i="130" s="1"/>
  <c r="H78" i="130" s="1"/>
  <c r="F77" i="130"/>
  <c r="G77" i="130" s="1"/>
  <c r="H77" i="130" s="1"/>
  <c r="F76" i="130"/>
  <c r="G76" i="130" s="1"/>
  <c r="H76" i="130" s="1"/>
  <c r="F75" i="130"/>
  <c r="G75" i="130" s="1"/>
  <c r="H75" i="130" s="1"/>
  <c r="F74" i="130"/>
  <c r="G74" i="130" s="1"/>
  <c r="H74" i="130" s="1"/>
  <c r="F69" i="130"/>
  <c r="G69" i="130" s="1"/>
  <c r="H69" i="130" s="1"/>
  <c r="F68" i="130"/>
  <c r="G68" i="130" s="1"/>
  <c r="H68" i="130" s="1"/>
  <c r="F67" i="130"/>
  <c r="G67" i="130" s="1"/>
  <c r="H67" i="130" s="1"/>
  <c r="F66" i="130"/>
  <c r="G66" i="130" s="1"/>
  <c r="H66" i="130" s="1"/>
  <c r="F65" i="130"/>
  <c r="G65" i="130" s="1"/>
  <c r="H65" i="130" s="1"/>
  <c r="B85" i="137"/>
  <c r="C3" i="137"/>
  <c r="G68" i="124"/>
  <c r="G87" i="126" s="1"/>
  <c r="K32" i="137"/>
  <c r="F63" i="130"/>
  <c r="G63" i="130" s="1"/>
  <c r="F100" i="130"/>
  <c r="G100" i="130" s="1"/>
  <c r="I100" i="130" s="1"/>
  <c r="J100" i="130" s="1"/>
  <c r="F99" i="130"/>
  <c r="G99" i="130" s="1"/>
  <c r="I99" i="130" s="1"/>
  <c r="J99" i="130" s="1"/>
  <c r="F98" i="130"/>
  <c r="G98" i="130" s="1"/>
  <c r="I98" i="130" s="1"/>
  <c r="J98" i="130" s="1"/>
  <c r="F97" i="130"/>
  <c r="G97" i="130" s="1"/>
  <c r="I97" i="130" s="1"/>
  <c r="J97" i="130" s="1"/>
  <c r="F95" i="130"/>
  <c r="G95" i="130" s="1"/>
  <c r="I95" i="130" s="1"/>
  <c r="J95" i="130" s="1"/>
  <c r="F94" i="130"/>
  <c r="F93" i="130"/>
  <c r="G93" i="130" s="1"/>
  <c r="I93" i="130" s="1"/>
  <c r="J93" i="130" s="1"/>
  <c r="F87" i="130"/>
  <c r="G87" i="130" s="1"/>
  <c r="F86" i="130"/>
  <c r="G86" i="130" s="1"/>
  <c r="I86" i="130" s="1"/>
  <c r="J86" i="130" s="1"/>
  <c r="F85" i="130"/>
  <c r="G85" i="130" s="1"/>
  <c r="I85" i="130" s="1"/>
  <c r="J85" i="130" s="1"/>
  <c r="G84" i="130"/>
  <c r="I84" i="130" s="1"/>
  <c r="J84" i="130" s="1"/>
  <c r="H115" i="130"/>
  <c r="I115" i="130" s="1"/>
  <c r="H107" i="130"/>
  <c r="I107" i="130" s="1"/>
  <c r="G94" i="130"/>
  <c r="I94" i="130" s="1"/>
  <c r="J94" i="130" s="1"/>
  <c r="D58" i="130"/>
  <c r="D29" i="130"/>
  <c r="I20" i="137"/>
  <c r="I26" i="137" s="1"/>
  <c r="I19" i="137"/>
  <c r="I18" i="137"/>
  <c r="I24" i="137" s="1"/>
  <c r="B81" i="137"/>
  <c r="B82" i="137"/>
  <c r="U13" i="137"/>
  <c r="W13" i="137" s="1"/>
  <c r="X13" i="137" s="1"/>
  <c r="AA24" i="137"/>
  <c r="AA25" i="137"/>
  <c r="AA26" i="137"/>
  <c r="AA27" i="137"/>
  <c r="AA28" i="137"/>
  <c r="AA29" i="137"/>
  <c r="F2" i="137"/>
  <c r="AD28" i="137" s="1"/>
  <c r="E6" i="46"/>
  <c r="E12" i="46"/>
  <c r="E13" i="46"/>
  <c r="D14" i="71"/>
  <c r="D13" i="71"/>
  <c r="D12" i="71"/>
  <c r="D11" i="71"/>
  <c r="D10" i="71"/>
  <c r="C9" i="71"/>
  <c r="A15" i="71"/>
  <c r="C15" i="71"/>
  <c r="A14" i="71"/>
  <c r="C14" i="71" s="1"/>
  <c r="A13" i="71"/>
  <c r="C13" i="71"/>
  <c r="A12" i="71"/>
  <c r="C12" i="71" s="1"/>
  <c r="A11" i="71"/>
  <c r="C11" i="71"/>
  <c r="A10" i="71"/>
  <c r="C10" i="71" s="1"/>
  <c r="F55" i="124"/>
  <c r="S24" i="143" s="1"/>
  <c r="F56" i="124"/>
  <c r="U6" i="137"/>
  <c r="U7" i="137" s="1"/>
  <c r="D13" i="133"/>
  <c r="D20" i="133" s="1"/>
  <c r="D27" i="133" s="1"/>
  <c r="D34" i="133" s="1"/>
  <c r="F21" i="124"/>
  <c r="E10" i="116"/>
  <c r="D9" i="116"/>
  <c r="D8" i="116"/>
  <c r="D7" i="116"/>
  <c r="E2" i="116"/>
  <c r="Z16" i="143"/>
  <c r="AJ13" i="143" s="1"/>
  <c r="G4" i="132"/>
  <c r="G6" i="132" s="1"/>
  <c r="F29" i="124"/>
  <c r="F3" i="124"/>
  <c r="F41" i="124" s="1"/>
  <c r="G66" i="118"/>
  <c r="C7" i="132"/>
  <c r="F7" i="132" s="1"/>
  <c r="C8" i="132" s="1"/>
  <c r="E12" i="133"/>
  <c r="E23" i="133"/>
  <c r="F70" i="126"/>
  <c r="G59" i="124"/>
  <c r="E26" i="133"/>
  <c r="E18" i="133"/>
  <c r="C80" i="137"/>
  <c r="E80" i="137"/>
  <c r="F41" i="127"/>
  <c r="F25" i="127"/>
  <c r="E16" i="125"/>
  <c r="G38" i="126"/>
  <c r="Z18" i="143" s="1"/>
  <c r="G45" i="124"/>
  <c r="S18" i="143" s="1"/>
  <c r="H4" i="118"/>
  <c r="F3" i="127"/>
  <c r="F18" i="125"/>
  <c r="E9" i="125"/>
  <c r="F33" i="127"/>
  <c r="F11" i="127"/>
  <c r="J40" i="143" s="1"/>
  <c r="J45" i="143"/>
  <c r="J44" i="143"/>
  <c r="H48" i="118"/>
  <c r="E10" i="133"/>
  <c r="I25" i="137" l="1"/>
  <c r="I87" i="130"/>
  <c r="J87" i="130" s="1"/>
  <c r="D38" i="152"/>
  <c r="D80" i="146"/>
  <c r="D100" i="146"/>
  <c r="J47" i="143"/>
  <c r="AD25" i="137"/>
  <c r="H15" i="143"/>
  <c r="AJ3" i="143" s="1"/>
  <c r="G76" i="146"/>
  <c r="G81" i="146"/>
  <c r="AD26" i="137"/>
  <c r="J43" i="143"/>
  <c r="E46" i="71" s="1"/>
  <c r="J35" i="143"/>
  <c r="H76" i="146"/>
  <c r="H82" i="146" s="1"/>
  <c r="J39" i="143"/>
  <c r="J41" i="143" s="1"/>
  <c r="E24" i="71" s="1"/>
  <c r="F2" i="125"/>
  <c r="D69" i="146"/>
  <c r="X12" i="137"/>
  <c r="X15" i="137" s="1"/>
  <c r="F24" i="126" s="1"/>
  <c r="G24" i="126" s="1"/>
  <c r="Z17" i="143" s="1"/>
  <c r="AJ11" i="143" s="1"/>
  <c r="M18" i="143"/>
  <c r="S15" i="137"/>
  <c r="S17" i="137" s="1"/>
  <c r="V12" i="137"/>
  <c r="J67" i="137"/>
  <c r="Y48" i="143"/>
  <c r="C16" i="129" s="1"/>
  <c r="E9" i="133"/>
  <c r="E17" i="133" s="1"/>
  <c r="E6" i="116"/>
  <c r="AB40" i="143" s="1"/>
  <c r="J42" i="143"/>
  <c r="E37" i="71" s="1"/>
  <c r="E44" i="71" s="1"/>
  <c r="E39" i="71" s="1"/>
  <c r="F69" i="126"/>
  <c r="L32" i="137"/>
  <c r="AC23" i="137"/>
  <c r="AD24" i="137"/>
  <c r="AC27" i="137"/>
  <c r="AC29" i="137"/>
  <c r="AC26" i="137"/>
  <c r="AD23" i="137"/>
  <c r="AC25" i="137"/>
  <c r="AC24" i="137"/>
  <c r="AC28" i="137"/>
  <c r="AD27" i="137"/>
  <c r="G8" i="132"/>
  <c r="F8" i="132"/>
  <c r="C9" i="132" s="1"/>
  <c r="G79" i="130"/>
  <c r="H63" i="130"/>
  <c r="H79" i="130" s="1"/>
  <c r="I117" i="130"/>
  <c r="S20" i="143"/>
  <c r="S28" i="137"/>
  <c r="L31" i="137"/>
  <c r="S27" i="137"/>
  <c r="V13" i="137"/>
  <c r="J50" i="137"/>
  <c r="F26" i="125"/>
  <c r="Z15" i="143"/>
  <c r="AR25" i="143" s="1"/>
  <c r="G7" i="132"/>
  <c r="J46" i="137"/>
  <c r="K63" i="118" s="1"/>
  <c r="M24" i="143" s="1"/>
  <c r="U40" i="143"/>
  <c r="H117" i="130"/>
  <c r="J59" i="137"/>
  <c r="AA32" i="143"/>
  <c r="F44" i="71"/>
  <c r="H24" i="143"/>
  <c r="E8" i="46"/>
  <c r="E11" i="46" s="1"/>
  <c r="K15" i="137"/>
  <c r="K16" i="137" s="1"/>
  <c r="K20" i="137"/>
  <c r="E24" i="133"/>
  <c r="J49" i="137"/>
  <c r="S7" i="137"/>
  <c r="S9" i="137" s="1"/>
  <c r="J51" i="137"/>
  <c r="J53" i="137" s="1"/>
  <c r="J66" i="137"/>
  <c r="U12" i="137"/>
  <c r="U15" i="137" s="1"/>
  <c r="S13" i="143"/>
  <c r="L33" i="137" l="1"/>
  <c r="F71" i="126" s="1"/>
  <c r="I101" i="130"/>
  <c r="G119" i="130" s="1"/>
  <c r="J101" i="130"/>
  <c r="H119" i="130" s="1"/>
  <c r="C6" i="129" s="1"/>
  <c r="J62" i="137"/>
  <c r="K65" i="118" s="1"/>
  <c r="F98" i="152"/>
  <c r="D99" i="152" s="1"/>
  <c r="E99" i="152" s="1"/>
  <c r="I98" i="152"/>
  <c r="I38" i="152"/>
  <c r="E38" i="152"/>
  <c r="F38" i="152" s="1"/>
  <c r="AR27" i="143"/>
  <c r="AR23" i="143"/>
  <c r="S30" i="137"/>
  <c r="F64" i="126" s="1"/>
  <c r="Z21" i="143" s="1"/>
  <c r="Z23" i="143" s="1"/>
  <c r="E47" i="71"/>
  <c r="E51" i="71" s="1"/>
  <c r="Y36" i="143" s="1"/>
  <c r="J34" i="143"/>
  <c r="J36" i="143" s="1"/>
  <c r="V15" i="137"/>
  <c r="E25" i="71"/>
  <c r="E32" i="71" s="1"/>
  <c r="D83" i="146"/>
  <c r="AR26" i="143"/>
  <c r="Z19" i="143"/>
  <c r="E36" i="133"/>
  <c r="E31" i="133"/>
  <c r="E22" i="133"/>
  <c r="Z24" i="143"/>
  <c r="J54" i="137"/>
  <c r="J55" i="137" s="1"/>
  <c r="J56" i="137" s="1"/>
  <c r="K64" i="118" s="1"/>
  <c r="G64" i="118"/>
  <c r="AJ6" i="143"/>
  <c r="J37" i="143"/>
  <c r="F9" i="132"/>
  <c r="C10" i="132" s="1"/>
  <c r="G9" i="132"/>
  <c r="E10" i="46"/>
  <c r="E9" i="46"/>
  <c r="E14" i="46" s="1"/>
  <c r="E15" i="46" s="1"/>
  <c r="G52" i="118"/>
  <c r="K23" i="137" s="1"/>
  <c r="K21" i="137"/>
  <c r="L18" i="137" s="1"/>
  <c r="G50" i="118"/>
  <c r="S12" i="137"/>
  <c r="S18" i="137" s="1"/>
  <c r="K50" i="118" s="1"/>
  <c r="M21" i="143" s="1"/>
  <c r="M23" i="143" s="1"/>
  <c r="G24" i="118"/>
  <c r="H21" i="118" s="1"/>
  <c r="U16" i="137"/>
  <c r="J68" i="137"/>
  <c r="J70" i="137" s="1"/>
  <c r="J72" i="137"/>
  <c r="G67" i="118" s="1"/>
  <c r="Z25" i="143" l="1"/>
  <c r="G64" i="126"/>
  <c r="D39" i="152"/>
  <c r="F99" i="152"/>
  <c r="D100" i="152" s="1"/>
  <c r="E100" i="152" s="1"/>
  <c r="E15" i="116"/>
  <c r="U41" i="143" s="1"/>
  <c r="K24" i="137"/>
  <c r="G62" i="118"/>
  <c r="H22" i="143" s="1"/>
  <c r="E48" i="71"/>
  <c r="V17" i="137"/>
  <c r="K24" i="118" s="1"/>
  <c r="L21" i="118" s="1"/>
  <c r="M17" i="143" s="1"/>
  <c r="AJ9" i="143" s="1"/>
  <c r="D96" i="146"/>
  <c r="E17" i="46"/>
  <c r="AA33" i="143" s="1"/>
  <c r="E34" i="71"/>
  <c r="E33" i="71"/>
  <c r="J38" i="143"/>
  <c r="I4" i="71" s="1"/>
  <c r="L13" i="143"/>
  <c r="Z13" i="143" s="1"/>
  <c r="H25" i="143"/>
  <c r="H26" i="143" s="1"/>
  <c r="G10" i="132"/>
  <c r="F10" i="132"/>
  <c r="C11" i="132" s="1"/>
  <c r="L19" i="137"/>
  <c r="K25" i="137" s="1"/>
  <c r="L20" i="137"/>
  <c r="K26" i="137" s="1"/>
  <c r="J73" i="137"/>
  <c r="J75" i="137" s="1"/>
  <c r="K67" i="118" s="1"/>
  <c r="H17" i="143"/>
  <c r="H21" i="143"/>
  <c r="Z26" i="143" l="1"/>
  <c r="AJ30" i="143" s="1"/>
  <c r="E39" i="152"/>
  <c r="F39" i="152" s="1"/>
  <c r="J49" i="143"/>
  <c r="E26" i="71"/>
  <c r="Y37" i="143" s="1"/>
  <c r="M19" i="143"/>
  <c r="C8" i="129"/>
  <c r="C19" i="129" s="1"/>
  <c r="F11" i="132"/>
  <c r="C12" i="132" s="1"/>
  <c r="G11" i="132"/>
  <c r="M25" i="143"/>
  <c r="M26" i="143" s="1"/>
  <c r="AJ24" i="143" s="1"/>
  <c r="L50" i="118"/>
  <c r="L68" i="118" s="1"/>
  <c r="H23" i="143"/>
  <c r="H50" i="118"/>
  <c r="AJ8" i="143"/>
  <c r="H19" i="143"/>
  <c r="D40" i="152" l="1"/>
  <c r="G12" i="132"/>
  <c r="F12" i="132"/>
  <c r="C13" i="132" s="1"/>
  <c r="H68" i="118"/>
  <c r="AJ21" i="143"/>
  <c r="I100" i="152" l="1"/>
  <c r="F100" i="152"/>
  <c r="D101" i="152" s="1"/>
  <c r="E101" i="152" s="1"/>
  <c r="E40" i="152"/>
  <c r="F40" i="152" s="1"/>
  <c r="I40" i="152"/>
  <c r="G13" i="132"/>
  <c r="F13" i="132"/>
  <c r="C14" i="132" s="1"/>
  <c r="D41" i="152" l="1"/>
  <c r="G14" i="132"/>
  <c r="F14" i="132"/>
  <c r="C15" i="132" s="1"/>
  <c r="F101" i="152" l="1"/>
  <c r="D102" i="152" s="1"/>
  <c r="E102" i="152" s="1"/>
  <c r="I101" i="152"/>
  <c r="I41" i="152"/>
  <c r="E41" i="152"/>
  <c r="F41" i="152" s="1"/>
  <c r="G15" i="132"/>
  <c r="F15" i="132"/>
  <c r="C16" i="132" s="1"/>
  <c r="D42" i="152" l="1"/>
  <c r="G16" i="132"/>
  <c r="F16" i="132"/>
  <c r="C17" i="132" s="1"/>
  <c r="I102" i="152" l="1"/>
  <c r="F102" i="152"/>
  <c r="D103" i="152" s="1"/>
  <c r="E103" i="152" s="1"/>
  <c r="E42" i="152"/>
  <c r="F42" i="152" s="1"/>
  <c r="I42" i="152"/>
  <c r="F17" i="132"/>
  <c r="G17" i="132"/>
  <c r="D43" i="152" l="1"/>
  <c r="G18" i="132"/>
  <c r="E19" i="124" s="1"/>
  <c r="F13" i="124" s="1"/>
  <c r="G2" i="124" s="1"/>
  <c r="W12" i="137" s="1"/>
  <c r="W15" i="137" s="1"/>
  <c r="F40" i="124" s="1"/>
  <c r="G37" i="124" s="1"/>
  <c r="I103" i="152" l="1"/>
  <c r="F103" i="152"/>
  <c r="D104" i="152" s="1"/>
  <c r="E104" i="152" s="1"/>
  <c r="E43" i="152"/>
  <c r="F43" i="152" s="1"/>
  <c r="I43" i="152"/>
  <c r="K31" i="137"/>
  <c r="K33" i="137" s="1"/>
  <c r="F57" i="124" s="1"/>
  <c r="G53" i="124" s="1"/>
  <c r="S22" i="137"/>
  <c r="S24" i="137" s="1"/>
  <c r="F53" i="124" s="1"/>
  <c r="S21" i="143" s="1"/>
  <c r="S23" i="143" s="1"/>
  <c r="S15" i="143"/>
  <c r="AR24" i="143" s="1"/>
  <c r="S17" i="143"/>
  <c r="D44" i="152" l="1"/>
  <c r="AJ5" i="143"/>
  <c r="AJ7" i="143" s="1"/>
  <c r="S25" i="143"/>
  <c r="S26" i="143" s="1"/>
  <c r="AJ27" i="143" s="1"/>
  <c r="AJ10" i="143"/>
  <c r="C13" i="129"/>
  <c r="S19" i="143"/>
  <c r="AR30" i="143"/>
  <c r="AR28" i="143"/>
  <c r="I104" i="152" l="1"/>
  <c r="F104" i="152"/>
  <c r="D105" i="152" s="1"/>
  <c r="E105" i="152" s="1"/>
  <c r="E44" i="152"/>
  <c r="F44" i="152" s="1"/>
  <c r="I44" i="152"/>
  <c r="AJ15" i="143"/>
  <c r="AJ16" i="143" s="1"/>
  <c r="AJ18" i="143" s="1"/>
  <c r="AJ20" i="143" s="1"/>
  <c r="AJ22" i="143" s="1"/>
  <c r="H27" i="143" s="1"/>
  <c r="D45" i="152" l="1"/>
  <c r="AJ23" i="143"/>
  <c r="AJ25" i="143" s="1"/>
  <c r="M27" i="143" s="1"/>
  <c r="F105" i="152" l="1"/>
  <c r="D106" i="152" s="1"/>
  <c r="E106" i="152" s="1"/>
  <c r="I105" i="152"/>
  <c r="E45" i="152"/>
  <c r="F45" i="152" s="1"/>
  <c r="D46" i="152" s="1"/>
  <c r="I45" i="152"/>
  <c r="AJ28" i="143"/>
  <c r="S27" i="143" s="1"/>
  <c r="AJ26" i="143"/>
  <c r="H31" i="143"/>
  <c r="M29" i="143"/>
  <c r="M28" i="143"/>
  <c r="M31" i="143" s="1"/>
  <c r="AJ29" i="143" l="1"/>
  <c r="AJ31" i="143" s="1"/>
  <c r="Z27" i="143" s="1"/>
  <c r="Z28" i="143" s="1"/>
  <c r="Z31" i="143" s="1"/>
  <c r="S29" i="143"/>
  <c r="S28" i="143"/>
  <c r="S31" i="143" s="1"/>
  <c r="F106" i="152" l="1"/>
  <c r="D107" i="152" s="1"/>
  <c r="E107" i="152" s="1"/>
  <c r="I106" i="152"/>
  <c r="E46" i="152"/>
  <c r="F46" i="152" s="1"/>
  <c r="I46" i="152"/>
  <c r="F32" i="143"/>
  <c r="Z29" i="143"/>
  <c r="D47" i="152" l="1"/>
  <c r="F107" i="152" l="1"/>
  <c r="D108" i="152" s="1"/>
  <c r="E108" i="152" s="1"/>
  <c r="I107" i="152"/>
  <c r="E47" i="152"/>
  <c r="F47" i="152" s="1"/>
  <c r="I47" i="152"/>
  <c r="I3" i="71"/>
  <c r="I5" i="71" s="1"/>
  <c r="AG29" i="137"/>
  <c r="AH29" i="137" s="1"/>
  <c r="AG23" i="137"/>
  <c r="AG24" i="137"/>
  <c r="AH24" i="137" s="1"/>
  <c r="AG28" i="137"/>
  <c r="AH28" i="137" s="1"/>
  <c r="AG26" i="137"/>
  <c r="AH26" i="137" s="1"/>
  <c r="AG27" i="137"/>
  <c r="AH27" i="137" s="1"/>
  <c r="AG25" i="137"/>
  <c r="AH25" i="137" s="1"/>
  <c r="D48" i="152" l="1"/>
  <c r="AF31" i="137"/>
  <c r="I108" i="152" l="1"/>
  <c r="F108" i="152"/>
  <c r="D109" i="152" s="1"/>
  <c r="E109" i="152" s="1"/>
  <c r="E48" i="152"/>
  <c r="F48" i="152" s="1"/>
  <c r="I48" i="152"/>
  <c r="D49" i="152" l="1"/>
  <c r="I109" i="152" l="1"/>
  <c r="F109" i="152"/>
  <c r="D110" i="152" s="1"/>
  <c r="E110" i="152" s="1"/>
  <c r="E49" i="152"/>
  <c r="F49" i="152" s="1"/>
  <c r="I49" i="152"/>
  <c r="D50" i="152" l="1"/>
  <c r="I110" i="152" l="1"/>
  <c r="F110" i="152"/>
  <c r="D111" i="152" s="1"/>
  <c r="E50" i="152"/>
  <c r="F50" i="152" s="1"/>
  <c r="D51" i="152" s="1"/>
  <c r="I50" i="152"/>
  <c r="AB41" i="143"/>
  <c r="E111" i="152" l="1"/>
  <c r="I111" i="152"/>
  <c r="E51" i="152"/>
  <c r="F51" i="152" s="1"/>
  <c r="I51" i="152"/>
  <c r="F111" i="152" l="1"/>
  <c r="D112" i="152" s="1"/>
  <c r="E112" i="152" s="1"/>
  <c r="D52" i="152"/>
  <c r="I112" i="152" l="1"/>
  <c r="F112" i="152"/>
  <c r="D113" i="152" s="1"/>
  <c r="E113" i="152" s="1"/>
  <c r="E52" i="152"/>
  <c r="F52" i="152" s="1"/>
  <c r="I52" i="152"/>
  <c r="D53" i="152" l="1"/>
  <c r="F113" i="152" l="1"/>
  <c r="D114" i="152" s="1"/>
  <c r="E114" i="152" s="1"/>
  <c r="I113" i="152"/>
  <c r="E53" i="152"/>
  <c r="F53" i="152" s="1"/>
  <c r="I53" i="152"/>
  <c r="D54" i="152" l="1"/>
  <c r="F114" i="152" l="1"/>
  <c r="D115" i="152" s="1"/>
  <c r="E115" i="152" s="1"/>
  <c r="I114" i="152"/>
  <c r="E54" i="152"/>
  <c r="F54" i="152" s="1"/>
  <c r="I54" i="152"/>
  <c r="D55" i="152" l="1"/>
  <c r="I115" i="152" l="1"/>
  <c r="F115" i="152"/>
  <c r="D116" i="152" s="1"/>
  <c r="E55" i="152"/>
  <c r="F55" i="152" s="1"/>
  <c r="D56" i="152" s="1"/>
  <c r="I55" i="152"/>
  <c r="E116" i="152" l="1"/>
  <c r="F116" i="152" s="1"/>
  <c r="F117" i="152" s="1"/>
  <c r="F21" i="146" s="1"/>
  <c r="G17" i="146" s="1"/>
  <c r="E56" i="152" l="1"/>
  <c r="F56" i="152" l="1"/>
  <c r="F57" i="152" s="1"/>
  <c r="F7" i="146" l="1"/>
  <c r="G3" i="146" s="1"/>
  <c r="G67" i="146" s="1"/>
  <c r="D95" i="146" s="1"/>
  <c r="D97" i="146" l="1"/>
  <c r="D99" i="146" s="1"/>
  <c r="D101" i="146" s="1"/>
  <c r="Y43" i="143" s="1"/>
  <c r="J48" i="143"/>
  <c r="J50" i="143" s="1"/>
  <c r="C12" i="129" s="1"/>
  <c r="C10" i="148"/>
  <c r="C9" i="148"/>
  <c r="C8" i="148"/>
  <c r="C7" i="148"/>
  <c r="C11" i="148" s="1"/>
  <c r="M52" i="143" s="1"/>
  <c r="L32" i="143" s="1"/>
  <c r="S32" i="143" s="1"/>
  <c r="S33" i="143" l="1"/>
  <c r="J46" i="143" s="1"/>
  <c r="C11" i="129"/>
  <c r="C20" i="129" l="1"/>
  <c r="C17" i="129"/>
  <c r="I2" i="71"/>
  <c r="I9" i="71" s="1"/>
  <c r="G9" i="71"/>
  <c r="G11" i="71" l="1"/>
  <c r="H11" i="71" s="1"/>
  <c r="G14" i="71"/>
  <c r="H14" i="71" s="1"/>
  <c r="G15" i="71"/>
  <c r="H15" i="71" s="1"/>
  <c r="G12" i="71"/>
  <c r="H12" i="71" s="1"/>
  <c r="G10" i="71"/>
  <c r="H10" i="71" s="1"/>
  <c r="G13" i="71"/>
  <c r="H13" i="71" s="1"/>
  <c r="E17" i="71"/>
  <c r="I11" i="71"/>
  <c r="J11" i="71" s="1"/>
  <c r="I15" i="71"/>
  <c r="J15" i="71" s="1"/>
  <c r="I12" i="71"/>
  <c r="J12" i="71" s="1"/>
  <c r="I13" i="71"/>
  <c r="J13" i="71" s="1"/>
  <c r="I14" i="71"/>
  <c r="J14" i="71" s="1"/>
  <c r="I10" i="71"/>
  <c r="J10" i="71" s="1"/>
  <c r="B22" i="129"/>
  <c r="C21" i="129"/>
  <c r="E18" i="71" l="1"/>
  <c r="Y35" i="143" s="1"/>
  <c r="Y34" i="143" l="1"/>
  <c r="Y39" i="143" s="1"/>
  <c r="Y42" i="143" s="1"/>
  <c r="E7" i="133" l="1" a="1"/>
  <c r="E7" i="133" s="1"/>
  <c r="Y45" i="143"/>
  <c r="E8" i="133" l="1"/>
  <c r="E27" i="133"/>
  <c r="E28" i="133" s="1"/>
  <c r="E29" i="133" s="1"/>
  <c r="E30" i="133" s="1"/>
  <c r="E32" i="133" s="1"/>
  <c r="E13" i="133"/>
  <c r="E14" i="133" s="1"/>
  <c r="E15" i="133" s="1"/>
  <c r="E16" i="133" s="1"/>
  <c r="E34" i="133"/>
  <c r="E35" i="133" s="1"/>
  <c r="E37" i="133" s="1"/>
  <c r="E20" i="133"/>
  <c r="E21" i="133" s="1"/>
  <c r="E38" i="133" l="1"/>
  <c r="E40" i="133" s="1"/>
  <c r="Y49" i="143" s="1"/>
  <c r="F51" i="143" s="1"/>
  <c r="U51" i="143" s="1"/>
  <c r="AB51" i="14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CESAR ANZOLA</author>
  </authors>
  <commentList>
    <comment ref="C15" authorId="0" shapeId="0" xr:uid="{00000000-0006-0000-0100-000001000000}">
      <text>
        <r>
          <rPr>
            <b/>
            <sz val="9"/>
            <color rgb="FF000000"/>
            <rFont val="Tahoma"/>
            <family val="2"/>
          </rPr>
          <t>Digite aca el valor pagado en el 2025 de la renta año 2024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CESAR ANZOLA</author>
  </authors>
  <commentList>
    <comment ref="C62" authorId="0" shapeId="0" xr:uid="{00000000-0006-0000-0400-000001000000}">
      <text>
        <r>
          <rPr>
            <b/>
            <sz val="9"/>
            <color rgb="FF000000"/>
            <rFont val="Tahoma"/>
            <family val="2"/>
          </rPr>
          <t>Escriba "Si" si desea reajustar fiscalmente el valor de las acciones o vehiculo a dic. 31 de 2018. De lo contrario escriba "No"</t>
        </r>
      </text>
    </comment>
    <comment ref="D62" authorId="0" shapeId="0" xr:uid="{00000000-0006-0000-0400-000002000000}">
      <text>
        <r>
          <rPr>
            <b/>
            <sz val="9"/>
            <color rgb="FF000000"/>
            <rFont val="Tahoma"/>
            <family val="2"/>
          </rPr>
          <t>El art. 272 E.T. señala que el valor por el cual se deben declarar las acciones es por su valor nominal</t>
        </r>
      </text>
    </comment>
    <comment ref="C83" authorId="0" shapeId="0" xr:uid="{00000000-0006-0000-0400-000003000000}">
      <text>
        <r>
          <rPr>
            <b/>
            <sz val="9"/>
            <color rgb="FF000000"/>
            <rFont val="Tahoma"/>
            <family val="2"/>
          </rPr>
          <t>Escriba "Si" si desea reajustar fiscalmente el valor de los inmuebles a dic. 31 de 2018. De lo contrario escriba "No"</t>
        </r>
      </text>
    </comment>
    <comment ref="D83" authorId="0" shapeId="0" xr:uid="{00000000-0006-0000-0400-000004000000}">
      <text>
        <r>
          <rPr>
            <b/>
            <sz val="9"/>
            <color rgb="FF000000"/>
            <rFont val="Tahoma"/>
            <family val="2"/>
          </rPr>
          <t>El art. 272 E.T. señala que el valor por el cual se deben declarar las acciones es por su valor nominal</t>
        </r>
      </text>
    </comment>
    <comment ref="D105" authorId="0" shapeId="0" xr:uid="{00000000-0006-0000-0400-000005000000}">
      <text>
        <r>
          <rPr>
            <b/>
            <sz val="9"/>
            <color rgb="FF000000"/>
            <rFont val="Tahoma"/>
            <family val="2"/>
          </rPr>
          <t>Art. 69 E.T.</t>
        </r>
      </text>
    </comment>
    <comment ref="D121" authorId="0" shapeId="0" xr:uid="{00000000-0006-0000-0400-000006000000}">
      <text>
        <r>
          <rPr>
            <b/>
            <sz val="9"/>
            <color rgb="FF000000"/>
            <rFont val="Tahoma"/>
            <family val="2"/>
          </rPr>
          <t>Art. 1 Decreto 128 de 2024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Alejandra Triana Gallo</author>
    <author>CESAR ANZOLA</author>
  </authors>
  <commentList>
    <comment ref="F24" authorId="0" shapeId="0" xr:uid="{00000000-0006-0000-0600-000001000000}">
      <text>
        <r>
          <rPr>
            <b/>
            <sz val="9"/>
            <color rgb="FF000000"/>
            <rFont val="Calibri"/>
            <family val="2"/>
          </rPr>
          <t>ART. 55 APORTES OBLIGATORIOS AL SISTEMA GENERAL DE PENSIONES.</t>
        </r>
        <r>
          <rPr>
            <sz val="9"/>
            <color rgb="FF000000"/>
            <rFont val="Calibri"/>
            <family val="2"/>
          </rPr>
          <t xml:space="preserve"> Las cotizaciones voluntarias al régimen de ahorro individual con solidaridad son un ingreso no constitutivo de renta ni de ganancia ocasional para el aportante, en un porcentaje que no exceda el veinticinco por ciento (25%) del ingreso laboral o tributario anual, limitado a 2.500 UVT
</t>
        </r>
      </text>
    </comment>
    <comment ref="H34" authorId="0" shapeId="0" xr:uid="{00000000-0006-0000-0600-000002000000}">
      <text>
        <r>
          <rPr>
            <b/>
            <sz val="10"/>
            <color rgb="FF000000"/>
            <rFont val="Calibri"/>
            <family val="2"/>
          </rPr>
          <t xml:space="preserve">Art. 156: </t>
        </r>
        <r>
          <rPr>
            <sz val="10"/>
            <color rgb="FF000000"/>
            <rFont val="Calibri"/>
            <family val="2"/>
          </rPr>
          <t xml:space="preserve">Las rentas de trabajo
</t>
        </r>
        <r>
          <rPr>
            <sz val="10"/>
            <color rgb="FF000000"/>
            <rFont val="Calibri"/>
            <family val="2"/>
          </rPr>
          <t>no podrán afectarse con pérdidas, cualquiera que fuese su origen.</t>
        </r>
      </text>
    </comment>
    <comment ref="L34" authorId="0" shapeId="0" xr:uid="{00000000-0006-0000-0600-000003000000}">
      <text>
        <r>
          <rPr>
            <b/>
            <sz val="10"/>
            <color rgb="FF000000"/>
            <rFont val="Calibri"/>
            <family val="2"/>
          </rPr>
          <t xml:space="preserve">Art. 156: </t>
        </r>
        <r>
          <rPr>
            <sz val="10"/>
            <color rgb="FF000000"/>
            <rFont val="Calibri"/>
            <family val="2"/>
          </rPr>
          <t xml:space="preserve">Las rentas de trabajo
</t>
        </r>
        <r>
          <rPr>
            <sz val="10"/>
            <color rgb="FF000000"/>
            <rFont val="Calibri"/>
            <family val="2"/>
          </rPr>
          <t>no podrán afectarse con pérdidas, cualquiera que fuese su origen.</t>
        </r>
      </text>
    </comment>
    <comment ref="F50" authorId="1" shapeId="0" xr:uid="{00000000-0006-0000-0600-000004000000}">
      <text>
        <r>
          <rPr>
            <b/>
            <sz val="9"/>
            <color rgb="FF000000"/>
            <rFont val="Tahoma"/>
            <family val="2"/>
          </rPr>
          <t>ARTÍCULO 126-4. INCENTIVO AL AHORRO DE LARGO PLAZO PARA EL FOMENTO DE LA CONSTRUCCIÓN. (Artículo modifi cado por el artículo 16 de la Ley 1819 de 29 de diciembre de 2016). Las sumas que los contribuyentes personas naturales depositen en las cuentas de ahorro denominadas Ahorro para el Fomento a la Construcción (AFC) no formarán parte de la base de retención en la fuente del contribuyente persona natural, y tendrán el carácter de rentas exentas del impuesto sobre la renta y complementarios, hasta un valor que, adicionado al valor de los aportes voluntarios a los seguros privados de pensiones y a los fondos de pensiones voluntarias de que trata el artículo 126-1 de este Estatuto, no exceda del treinta por ciento (30%) del ingreso laboral o del ingreso tributario del año, según corresponda, y hasta un monto máximo de tres mil ochocientas (3.800) UVT por año.</t>
        </r>
      </text>
    </comment>
    <comment ref="F52" authorId="0" shapeId="0" xr:uid="{00000000-0006-0000-0600-000005000000}">
      <text>
        <r>
          <rPr>
            <sz val="10"/>
            <color rgb="FF000000"/>
            <rFont val="Calibri"/>
            <family val="2"/>
          </rPr>
          <t>Numeral 4 art. 206 E.T. señala que si el salario promedio de los últimos 6 meses es superior a 350 UVT deberá verificar el monto de cesantías e intereses que se podrán tratar como renta exenta.</t>
        </r>
      </text>
    </comment>
    <comment ref="G63" authorId="0" shapeId="0" xr:uid="{00000000-0006-0000-0600-000006000000}">
      <text>
        <r>
          <rPr>
            <b/>
            <sz val="10"/>
            <color rgb="FF000000"/>
            <rFont val="Tahoma"/>
            <family val="2"/>
          </rPr>
          <t xml:space="preserve">Art. 119 </t>
        </r>
        <r>
          <rPr>
            <sz val="10"/>
            <color rgb="FF000000"/>
            <rFont val="Calibri"/>
            <family val="2"/>
          </rPr>
          <t xml:space="preserve">Dicha deducción no podrá exceder anualmente del valor equivalente a 100 UVT.
</t>
        </r>
        <r>
          <rPr>
            <sz val="10"/>
            <color rgb="FF000000"/>
            <rFont val="Tahoma"/>
            <family val="2"/>
          </rPr>
          <t xml:space="preserve">
</t>
        </r>
      </text>
    </comment>
    <comment ref="K63" authorId="0" shapeId="0" xr:uid="{00000000-0006-0000-0600-000007000000}">
      <text>
        <r>
          <rPr>
            <b/>
            <sz val="10"/>
            <color rgb="FF000000"/>
            <rFont val="Tahoma"/>
            <family val="2"/>
          </rPr>
          <t xml:space="preserve">Art. 119 </t>
        </r>
        <r>
          <rPr>
            <sz val="10"/>
            <color rgb="FF000000"/>
            <rFont val="Calibri"/>
            <family val="2"/>
          </rPr>
          <t xml:space="preserve">Dicha deducción no podrá exceder anualmente del valor equivalente a 100 UVT.
</t>
        </r>
        <r>
          <rPr>
            <sz val="10"/>
            <color rgb="FF000000"/>
            <rFont val="Tahoma"/>
            <family val="2"/>
          </rPr>
          <t xml:space="preserve">
</t>
        </r>
      </text>
    </comment>
    <comment ref="G64" authorId="0" shapeId="0" xr:uid="{00000000-0006-0000-0600-000008000000}">
      <text>
        <r>
          <rPr>
            <b/>
            <sz val="10"/>
            <color rgb="FF000000"/>
            <rFont val="Tahoma"/>
            <family val="2"/>
          </rPr>
          <t xml:space="preserve">Art. 387. </t>
        </r>
      </text>
    </comment>
    <comment ref="K64" authorId="0" shapeId="0" xr:uid="{00000000-0006-0000-0600-000009000000}">
      <text>
        <r>
          <rPr>
            <b/>
            <sz val="10"/>
            <color rgb="FF000000"/>
            <rFont val="Tahoma"/>
            <family val="2"/>
          </rPr>
          <t xml:space="preserve">Art. 387. </t>
        </r>
      </text>
    </comment>
    <comment ref="G65" authorId="0" shapeId="0" xr:uid="{00000000-0006-0000-0600-00000A000000}">
      <text>
        <r>
          <rPr>
            <b/>
            <sz val="10"/>
            <color rgb="FF000000"/>
            <rFont val="Tahoma"/>
            <family val="2"/>
          </rPr>
          <t xml:space="preserve">Art. 387 E.T.   </t>
        </r>
        <r>
          <rPr>
            <sz val="10"/>
            <color rgb="FF000000"/>
            <rFont val="Calibri"/>
            <family val="2"/>
          </rPr>
          <t xml:space="preserve">Los pagos efectuados por contratos de prestación de servicios a empresas de medicina prepagada
</t>
        </r>
        <r>
          <rPr>
            <sz val="10"/>
            <color rgb="FF000000"/>
            <rFont val="Calibri"/>
            <family val="2"/>
          </rPr>
          <t xml:space="preserve">vigiladas por la Superintendencia Nacional de Salud. Maximo </t>
        </r>
        <r>
          <rPr>
            <sz val="10"/>
            <color rgb="FF000000"/>
            <rFont val="Tahoma"/>
            <family val="2"/>
          </rPr>
          <t>16 UVT</t>
        </r>
      </text>
    </comment>
    <comment ref="K65" authorId="0" shapeId="0" xr:uid="{00000000-0006-0000-0600-00000B000000}">
      <text>
        <r>
          <rPr>
            <b/>
            <sz val="10"/>
            <color rgb="FF000000"/>
            <rFont val="Tahoma"/>
            <family val="2"/>
          </rPr>
          <t xml:space="preserve">Art. 387 E.T.   </t>
        </r>
        <r>
          <rPr>
            <sz val="10"/>
            <color rgb="FF000000"/>
            <rFont val="Calibri"/>
            <family val="2"/>
          </rPr>
          <t xml:space="preserve">Los pagos efectuados por contratos de prestación de servicios a empresas de medicina prepagada
</t>
        </r>
        <r>
          <rPr>
            <sz val="10"/>
            <color rgb="FF000000"/>
            <rFont val="Calibri"/>
            <family val="2"/>
          </rPr>
          <t xml:space="preserve">vigiladas por la Superintendencia Nacional de Salud. Maximo </t>
        </r>
        <r>
          <rPr>
            <sz val="10"/>
            <color rgb="FF000000"/>
            <rFont val="Tahoma"/>
            <family val="2"/>
          </rPr>
          <t>16 UVT</t>
        </r>
      </text>
    </comment>
    <comment ref="G66" authorId="0" shapeId="0" xr:uid="{00000000-0006-0000-0600-00000C000000}">
      <text>
        <r>
          <rPr>
            <b/>
            <sz val="10"/>
            <color rgb="FF000000"/>
            <rFont val="Tahoma"/>
            <family val="2"/>
          </rPr>
          <t xml:space="preserve">Art. 115 E.T. </t>
        </r>
        <r>
          <rPr>
            <sz val="10"/>
            <color rgb="FF000000"/>
            <rFont val="Tahoma"/>
            <family val="2"/>
          </rPr>
          <t xml:space="preserve">
</t>
        </r>
        <r>
          <rPr>
            <sz val="10"/>
            <color rgb="FF000000"/>
            <rFont val="Calibri"/>
            <family val="2"/>
          </rPr>
          <t xml:space="preserve">El gravamen a los movimientos financieros será deducible el cincuenta por ciento (50%) que haya sido efectivamente pagado
</t>
        </r>
      </text>
    </comment>
    <comment ref="K66" authorId="0" shapeId="0" xr:uid="{00000000-0006-0000-0600-00000D000000}">
      <text>
        <r>
          <rPr>
            <b/>
            <sz val="10"/>
            <color rgb="FF000000"/>
            <rFont val="Tahoma"/>
            <family val="2"/>
          </rPr>
          <t xml:space="preserve">Art. 115 E.T. </t>
        </r>
        <r>
          <rPr>
            <sz val="10"/>
            <color rgb="FF000000"/>
            <rFont val="Tahoma"/>
            <family val="2"/>
          </rPr>
          <t xml:space="preserve">
</t>
        </r>
        <r>
          <rPr>
            <sz val="10"/>
            <color rgb="FF000000"/>
            <rFont val="Calibri"/>
            <family val="2"/>
          </rPr>
          <t xml:space="preserve">El gravamen a los movimientos financieros será deducible el cincuenta por ciento (50%) que haya sido efectivamente pagado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CESAR ANZOLA</author>
  </authors>
  <commentList>
    <comment ref="F53" authorId="0" shapeId="0" xr:uid="{00000000-0006-0000-0900-000001000000}">
      <text>
        <r>
          <rPr>
            <b/>
            <sz val="9"/>
            <color rgb="FF000000"/>
            <rFont val="Tahoma"/>
            <family val="2"/>
          </rPr>
          <t>ARTÍCULO 126-4. INCENTIVO AL AHORRO DE LARGO PLAZO PARA EL FOMENTO DE LA CONSTRUCCIÓN. (Artículo modifi cado por el artículo 16 de la Ley 1819 de 29 de diciembre de 2016). Las sumas que los contribuyentes personas naturales depositen en las cuentas de ahorro denominadas Ahorro para el Fomento a la Construcción (AFC) no formarán parte de la base de retención en la fuente del contribuyente persona natural, y tendrán el carácter de rentas exentas del impuesto sobre la renta y complementarios, hasta un valor que, adicionado al valor de los aportes voluntarios a los seguros privados de pensiones y a los fondos de pensiones voluntarias de que trata el artículo 126-1 de este Estatuto, no exceda del treinta por ciento (30%) del ingreso laboral o del ingreso tributario del año, según corresponda, y hasta un monto máximo de tres mil ochocientas (3.800) UVT por año.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<sst xmlns="http://schemas.openxmlformats.org/spreadsheetml/2006/main" count="1230" uniqueCount="853">
  <si>
    <t>Deudas</t>
  </si>
  <si>
    <t>Subtotal</t>
  </si>
  <si>
    <t>Rangos en UVT</t>
  </si>
  <si>
    <t xml:space="preserve">Desde </t>
  </si>
  <si>
    <t>Hasta</t>
  </si>
  <si>
    <t>Impuesto</t>
  </si>
  <si>
    <t>&gt;0</t>
  </si>
  <si>
    <t>&gt;1,090</t>
  </si>
  <si>
    <t>&gt;1,700</t>
  </si>
  <si>
    <t>&gt;4,100</t>
  </si>
  <si>
    <t>Renta presuntiva</t>
  </si>
  <si>
    <t>Costos por ganancias ocasionales</t>
  </si>
  <si>
    <t>Ganancias ocasionales no gravadas y exentas</t>
  </si>
  <si>
    <t>Patrimonio</t>
  </si>
  <si>
    <t>Sanciones</t>
  </si>
  <si>
    <t>Tarifa 
marginal</t>
  </si>
  <si>
    <t>En  adelante</t>
  </si>
  <si>
    <t>Menos: patrimonio excluido</t>
  </si>
  <si>
    <t>Donaciones</t>
  </si>
  <si>
    <t>Impuesto de ganancias ocasionales</t>
  </si>
  <si>
    <t>Promedio</t>
  </si>
  <si>
    <t>Valorizaciones</t>
  </si>
  <si>
    <t>Total base renta presuntiva</t>
  </si>
  <si>
    <t>Rentas exentas</t>
  </si>
  <si>
    <t>Ingresos no constitutivos de renta</t>
  </si>
  <si>
    <t>Rentas exentas de pensiones</t>
  </si>
  <si>
    <t>Costos y gastos procedentes</t>
  </si>
  <si>
    <t>Rentas de capital</t>
  </si>
  <si>
    <t>Rentas no laborales</t>
  </si>
  <si>
    <t>RENTAS POR DIVIDENDOS Y PARTICIPACIONES</t>
  </si>
  <si>
    <t>Rentas de trabajo</t>
  </si>
  <si>
    <t>Aporte obligatorio a salud</t>
  </si>
  <si>
    <t>Renta exenta del 25%</t>
  </si>
  <si>
    <t>Aporte voluntario a pension</t>
  </si>
  <si>
    <t>Deduccion por dependientes</t>
  </si>
  <si>
    <t>Intereses por prestamos de vivienda</t>
  </si>
  <si>
    <t>(Base gravable en UVT menos 1.090 UVT) X 19%</t>
  </si>
  <si>
    <t>(Base gravable en UVT menos 1.700 UVT) X 28% + 116 UVT</t>
  </si>
  <si>
    <t>(Base gravable en UVT menos 4.100 UVT) X 33% + 788 UVT</t>
  </si>
  <si>
    <t>I.N.C.R.N.G.O.</t>
  </si>
  <si>
    <t>Aporte voluntario a pensión</t>
  </si>
  <si>
    <t>G.M.F.</t>
  </si>
  <si>
    <t>Concepto</t>
  </si>
  <si>
    <t>Por Donaciones</t>
  </si>
  <si>
    <t>Por impuesto Pagados en el Exterior</t>
  </si>
  <si>
    <t>Devoluciones, rebajas y descuentos</t>
  </si>
  <si>
    <t>Anticipo renta liquidado año gravable anterior</t>
  </si>
  <si>
    <t>Retenciones año gravable a declarar</t>
  </si>
  <si>
    <t>Total rentas exentas y deducciones</t>
  </si>
  <si>
    <t>Renta de trabajo</t>
  </si>
  <si>
    <t>En UVT</t>
  </si>
  <si>
    <t>Desvalorizaciones</t>
  </si>
  <si>
    <t>Patrimonio líquido del año gravable anterior</t>
  </si>
  <si>
    <t>Impuestos y anticipos pagados en el año gravable</t>
  </si>
  <si>
    <t>Retenciones en la fuente practicadas en el año gravable</t>
  </si>
  <si>
    <t>Variación por comparacion patrimonial</t>
  </si>
  <si>
    <t>Valor rentas ajustadas</t>
  </si>
  <si>
    <t>( + )</t>
  </si>
  <si>
    <t>( - )</t>
  </si>
  <si>
    <t>( = )</t>
  </si>
  <si>
    <t>Variación por comparación patrimonial</t>
  </si>
  <si>
    <t>Posteriormente</t>
  </si>
  <si>
    <t>Ajuste de las Rentas</t>
  </si>
  <si>
    <t>Valor de las rentas ajustadas</t>
  </si>
  <si>
    <t>Patrimonio líquido del año gravable corriente</t>
  </si>
  <si>
    <t>RETENCIONES EN LA FUENTE QUE LE PRACTICARON</t>
  </si>
  <si>
    <t>RENTA PRESUNTIVA</t>
  </si>
  <si>
    <t>De fuente extranjera</t>
  </si>
  <si>
    <t>% de Reajuste Fiscal</t>
  </si>
  <si>
    <t>Variación patrimonial = Rentas ajustadas</t>
  </si>
  <si>
    <t>Variación patrimonial &lt; Rentas ajustadas</t>
  </si>
  <si>
    <t>Variación patrimonial &gt; Rentas ajustadas</t>
  </si>
  <si>
    <t>V/r. de las acciones en sociedades nacionales</t>
  </si>
  <si>
    <t>Renta Líquida por Comparación Patrimonial</t>
  </si>
  <si>
    <t>Procedimiento para su Determinación</t>
  </si>
  <si>
    <t>CÁLCULO DEL INTERES PRESUNTO</t>
  </si>
  <si>
    <t>Saldo Inicial</t>
  </si>
  <si>
    <t>Nuevo Préstamo</t>
  </si>
  <si>
    <t>Abonos</t>
  </si>
  <si>
    <t>Saldo Final</t>
  </si>
  <si>
    <t xml:space="preserve">Enero </t>
  </si>
  <si>
    <t>Febrero</t>
  </si>
  <si>
    <t>Marzo</t>
  </si>
  <si>
    <t>Abril</t>
  </si>
  <si>
    <t>Mayo</t>
  </si>
  <si>
    <t>Junio</t>
  </si>
  <si>
    <t>Julio</t>
  </si>
  <si>
    <t>Agosto</t>
  </si>
  <si>
    <t>Septiembre</t>
  </si>
  <si>
    <t>Octubre</t>
  </si>
  <si>
    <t>Noviembre</t>
  </si>
  <si>
    <t>Diciembre</t>
  </si>
  <si>
    <t>Mes</t>
  </si>
  <si>
    <t>Rend. Mínimo</t>
  </si>
  <si>
    <t>Mensual</t>
  </si>
  <si>
    <t>Int. Presunto</t>
  </si>
  <si>
    <t>Total intereses presunto</t>
  </si>
  <si>
    <t xml:space="preserve">% Valor Patrimonial </t>
  </si>
  <si>
    <t>Renta presuntiva Inicial</t>
  </si>
  <si>
    <t>Renta líquida sobre dividendos gravados 2016 y anteriores</t>
  </si>
  <si>
    <t>Valor del impuesto en pesos</t>
  </si>
  <si>
    <t>Valor segunda parte del impuesto</t>
  </si>
  <si>
    <t>Primer año</t>
  </si>
  <si>
    <t>Segundo año</t>
  </si>
  <si>
    <t>Tercer y siguientes años</t>
  </si>
  <si>
    <t>Impuesto neto de renta</t>
  </si>
  <si>
    <t>Descuentos tributarios</t>
  </si>
  <si>
    <t>V/r. del total de los activos destinados a empresas en periodo improductivo</t>
  </si>
  <si>
    <t>V/r. de los activos afectados por fuerza mayor o caso fortuito</t>
  </si>
  <si>
    <t>Las primeras 8.000 UVT Casa habitación</t>
  </si>
  <si>
    <t>Las primeras 19.000 UVT activos destinados sector agropecuario</t>
  </si>
  <si>
    <t>Valor</t>
  </si>
  <si>
    <t>Descripción</t>
  </si>
  <si>
    <t>Total Patrimonio Bruto y Total valorizaciones</t>
  </si>
  <si>
    <t>Valor de las Rentas líquidas Cedulares antes de compensaciones</t>
  </si>
  <si>
    <t>Valor del impuesto de renta</t>
  </si>
  <si>
    <r>
      <t xml:space="preserve">Determinación del impuesto de renta </t>
    </r>
    <r>
      <rPr>
        <b/>
        <sz val="10"/>
        <color indexed="8"/>
        <rFont val="Arial"/>
        <family val="2"/>
      </rPr>
      <t>primera subcédula</t>
    </r>
  </si>
  <si>
    <r>
      <t>Determinación del impuesto de renta segunda</t>
    </r>
    <r>
      <rPr>
        <b/>
        <sz val="10"/>
        <color indexed="8"/>
        <rFont val="Arial"/>
        <family val="2"/>
      </rPr>
      <t xml:space="preserve"> subcédula</t>
    </r>
  </si>
  <si>
    <t>1) Método del promedio</t>
  </si>
  <si>
    <t>2) Método directo</t>
  </si>
  <si>
    <t>Anticipo método del promedio</t>
  </si>
  <si>
    <t>Anticipo método directo</t>
  </si>
  <si>
    <t>Valor UVT</t>
  </si>
  <si>
    <t>Cesantias</t>
  </si>
  <si>
    <t>Anticipo renta para el año gravable siguiente</t>
  </si>
  <si>
    <t>Rentas exentas y deducciones</t>
  </si>
  <si>
    <t>Total ingresos por pensiones - fuente nacional</t>
  </si>
  <si>
    <t>Total ingresos por pensiones - fuente extranjera</t>
  </si>
  <si>
    <t>Arrendamientos</t>
  </si>
  <si>
    <t>Regalias y propiedad intelectual</t>
  </si>
  <si>
    <t>Aporte obligatorio a A.R.L.</t>
  </si>
  <si>
    <t>Rentas líquidas pasivas de capital</t>
  </si>
  <si>
    <t>Ingresos presuntos</t>
  </si>
  <si>
    <t>Rentas líquidas pasivas no laborales E.C.E</t>
  </si>
  <si>
    <t>Renta líquida pasiva dividendos - E.C.E.</t>
  </si>
  <si>
    <t>RENTAS NO LABORALES</t>
  </si>
  <si>
    <t>RENTAS DE CAPITAL</t>
  </si>
  <si>
    <t>RENTAS DE PENSIONES</t>
  </si>
  <si>
    <t>DEUDAS</t>
  </si>
  <si>
    <t>Impuesto neto de renta año anterior</t>
  </si>
  <si>
    <t>Menos: Retenciones en la fuente</t>
  </si>
  <si>
    <t>Menos: retenciones en la fuente</t>
  </si>
  <si>
    <t>Agente retenedor</t>
  </si>
  <si>
    <t>Total</t>
  </si>
  <si>
    <t>Impuesto neto de renta año corriente</t>
  </si>
  <si>
    <t>Patrimonio bruto</t>
  </si>
  <si>
    <t>Ingresos brutos por rentas de pensiones del país y del exterior</t>
  </si>
  <si>
    <t>Cédula general</t>
  </si>
  <si>
    <t>Dividendos y participaciones 2016 y anteriores y otros</t>
  </si>
  <si>
    <t>Ingresos brutos por rentas de capital</t>
  </si>
  <si>
    <t>Liquidación privada</t>
  </si>
  <si>
    <t>Reng</t>
  </si>
  <si>
    <t>Ingresos brutos por rentas de trabajo</t>
  </si>
  <si>
    <t>Ingresos brutos por rentas no laborales</t>
  </si>
  <si>
    <t>Total ingresos brutos</t>
  </si>
  <si>
    <t>(-) I.N.C.R.N.G.O.</t>
  </si>
  <si>
    <t>(-) Devoluciones, rebajas, descuentos</t>
  </si>
  <si>
    <t>(-) Rentas exentas no limitadas</t>
  </si>
  <si>
    <t>(=) Base límite del 40%</t>
  </si>
  <si>
    <t>(A) Monto de las rentas exenta y deducciones limitadas - 40%</t>
  </si>
  <si>
    <t>(menor entre A y B) Rentas exentas y deducciones limitadas</t>
  </si>
  <si>
    <t>(+) Renta exentas no limitadas</t>
  </si>
  <si>
    <t>(=) Rentas exentas y deducciones limitadas definitivas</t>
  </si>
  <si>
    <t>Rentas exentas y deducciones - Rentas de trabajo</t>
  </si>
  <si>
    <t>Rentas exentas y deducciones - Rentas de trabajo (limitadas)</t>
  </si>
  <si>
    <t>Rentas exentas y deducciones - Rentas de capital</t>
  </si>
  <si>
    <t>Rentas exentas y deducciones - Rentas de capital (limitadas)</t>
  </si>
  <si>
    <t>Rentas exentas y deducciones - Rentas no laborales</t>
  </si>
  <si>
    <t>Rentas exentas y deducciones - Rentas no laborales (limitadas)</t>
  </si>
  <si>
    <t>SALDO 31 DE DICIEMBRE</t>
  </si>
  <si>
    <t>CUENTAS POR COBRAR</t>
  </si>
  <si>
    <t>FECHA DE ADQUISICIÓN</t>
  </si>
  <si>
    <t>BIENES RAICES O ACCIONES</t>
  </si>
  <si>
    <t xml:space="preserve">INCRNGO </t>
  </si>
  <si>
    <t>Entre</t>
  </si>
  <si>
    <t>Y</t>
  </si>
  <si>
    <t>UVT</t>
  </si>
  <si>
    <t>a</t>
  </si>
  <si>
    <t xml:space="preserve">De </t>
  </si>
  <si>
    <t>Renta de trabajo - censantias y intereses</t>
  </si>
  <si>
    <t>Salario mensual</t>
  </si>
  <si>
    <t>Limite 3.800 UVT</t>
  </si>
  <si>
    <t>Limite ingresos</t>
  </si>
  <si>
    <t>exentas al 25%</t>
  </si>
  <si>
    <t>DEDUCCION DEPENDIENTES</t>
  </si>
  <si>
    <t>Aporte obligatorio a pensión</t>
  </si>
  <si>
    <t>Aportes voluntarios - Renta de trabajo</t>
  </si>
  <si>
    <t>Aportes voluntarios - Renta de capital</t>
  </si>
  <si>
    <t>Ingresos</t>
  </si>
  <si>
    <t>Aportes voluntarios - No laborales</t>
  </si>
  <si>
    <t>Renglón 51</t>
  </si>
  <si>
    <t>Pasivos inexistentes</t>
  </si>
  <si>
    <t>2a Subcedula año 2017 y siguientes (parágrafo 2 Art. 49)</t>
  </si>
  <si>
    <t>Ingresos brutos anuales</t>
  </si>
  <si>
    <t>Tarifa marginal</t>
  </si>
  <si>
    <t>CALCULO</t>
  </si>
  <si>
    <t>IMPUESTO</t>
  </si>
  <si>
    <t xml:space="preserve">Igual o superior </t>
  </si>
  <si>
    <t>Inferior</t>
  </si>
  <si>
    <t>(Base gravable en UVT Menos 1090 UVT) *19%</t>
  </si>
  <si>
    <t>(Base gravable en UVT Menos 1700 UVT) *28% + 116 UVT</t>
  </si>
  <si>
    <t>(Base gravable en UVT Menos 4100 UVT)  *33% + 788 UVT</t>
  </si>
  <si>
    <t>(Base gravable en UVT Menos 8670 UVT)  *35% + 2296 UVT</t>
  </si>
  <si>
    <t>(Base gravable en UVT Menos 18970 UVT) *37% + 5901 UVT</t>
  </si>
  <si>
    <t>En adelante</t>
  </si>
  <si>
    <t>(Base gravable en UVT Menos 31000 UVT) *39% - 10352 UVT</t>
  </si>
  <si>
    <t>BASE CEDULA GENERAL Y PENSIÓN</t>
  </si>
  <si>
    <t>Total renta presuntiva depurada</t>
  </si>
  <si>
    <r>
      <rPr>
        <b/>
        <sz val="8"/>
        <rFont val="Arial"/>
        <family val="2"/>
      </rPr>
      <t>Más:</t>
    </r>
    <r>
      <rPr>
        <sz val="8"/>
        <rFont val="Arial"/>
        <family val="2"/>
      </rPr>
      <t xml:space="preserve"> ingresos gravados generados por los activos excluídos - Divid. gravados</t>
    </r>
  </si>
  <si>
    <t>Renta líquida</t>
  </si>
  <si>
    <t>Por dividendos y participaciones año 2016 (base casilla 76)</t>
  </si>
  <si>
    <t>&gt;300</t>
  </si>
  <si>
    <t>en Adelante</t>
  </si>
  <si>
    <t>BASE RENTA PRESUNTIVA Y PENSIÓN</t>
  </si>
  <si>
    <t xml:space="preserve">Renta  cedula </t>
  </si>
  <si>
    <t>Aporte voluntario a fondo obligatorio porvenir - RAIS</t>
  </si>
  <si>
    <t xml:space="preserve"> PATRIMONIO BRUTO (Renglón 29)</t>
  </si>
  <si>
    <t>Renglón 96</t>
  </si>
  <si>
    <t>Aporte obligatorio a pension como independiente</t>
  </si>
  <si>
    <t>Aporte obligatorio a salud como independiente</t>
  </si>
  <si>
    <t>Aporte voluntario a fondo obligatorio - RAIS</t>
  </si>
  <si>
    <t>Aporte voluntario a fondo obligatorio porvenir - RAIS - Renta de trabajo</t>
  </si>
  <si>
    <t>Aporte voluntario a fondo obligatorio porvenir - RAIS - Renta de capital</t>
  </si>
  <si>
    <t>Aporte voluntario a fondo obligatorio porvenir - RAIS - Renta no laboral</t>
  </si>
  <si>
    <t>Renta  cedula general + pensión</t>
  </si>
  <si>
    <t>renta presentiva renta  + pensión</t>
  </si>
  <si>
    <t>IMPUESTO SOBRE LA RENTA POR DIVIDENDOS 2016 Y ANTERIORES</t>
  </si>
  <si>
    <t>TOTAL</t>
  </si>
  <si>
    <t>LIMITE</t>
  </si>
  <si>
    <t xml:space="preserve">Rentas exentas por distribuir </t>
  </si>
  <si>
    <t>Aporte Obligatorio a Pensión</t>
  </si>
  <si>
    <t>Dividendos y participaciones 2016, anteriores y otros</t>
  </si>
  <si>
    <t>1a. Subcédula año 2017 y siguientes numeral 3. Art 49 del E.T.</t>
  </si>
  <si>
    <t>TOTAL ENTIDADES FINANCIERAS Y CESANTÍAS</t>
  </si>
  <si>
    <t xml:space="preserve">Valor total impuesto segunda subcédula </t>
  </si>
  <si>
    <t>Cesantías 2016 y anteriores</t>
  </si>
  <si>
    <t>Intereses sobre cesantías</t>
  </si>
  <si>
    <t>Cesantías consignadas</t>
  </si>
  <si>
    <t>Reajuste fiscal</t>
  </si>
  <si>
    <t>Costo original de adquisición</t>
  </si>
  <si>
    <t>Indique el valor del salario mensual promedio de los últimos 6 meses (numeral 4 Art. 206 E.T.)</t>
  </si>
  <si>
    <t>Indemizaciones por accidente de trabajo (Numeral 1. Art. 206 E.T.)</t>
  </si>
  <si>
    <t>Indemizaciones por protección a maternidad  (Numeral 2. Art. 206 E.T.)</t>
  </si>
  <si>
    <t>Gastos de entierro   (Numeral 3. Art. 206 E.T.)</t>
  </si>
  <si>
    <t>Aportes voluntarios a fondos de cesantias</t>
  </si>
  <si>
    <t>Aportes voluntarios a fondos de cesantias (Inc. 6 Art 126-1 E.T.)</t>
  </si>
  <si>
    <t>Limite aportes voluntarios cesantias (Renta capital)</t>
  </si>
  <si>
    <t>Limite aportes voluntarios cesantias (Renta no laboral)</t>
  </si>
  <si>
    <t>Activos omitidos</t>
  </si>
  <si>
    <t>Diferencia por comparación patrimonial no justificada</t>
  </si>
  <si>
    <t>Fecha ganancia ocasional</t>
  </si>
  <si>
    <t>Rentas exentas henrencia</t>
  </si>
  <si>
    <t>Rentas exentas Porción conyugal</t>
  </si>
  <si>
    <t>Rentas exentas Legado</t>
  </si>
  <si>
    <t>Limite renta exenta casa habitación (Validar si es un limite?¿)</t>
  </si>
  <si>
    <r>
      <t>Esta situación también es buena para el contribuyente ya que la Autoridad Fiscal no cuestiona el porque no se invirtieron todos los ingresos en activos para incrementar el patrimonio líquido.</t>
    </r>
    <r>
      <rPr>
        <b/>
        <u/>
        <sz val="12"/>
        <color theme="5" tint="-0.499984740745262"/>
        <rFont val="Arial"/>
        <family val="2"/>
      </rPr>
      <t xml:space="preserve"> No hay renta por comparación patrimonial</t>
    </r>
  </si>
  <si>
    <r>
      <t xml:space="preserve">A esta situación es que la DIAN le prestará especial atención, ya que en el orden de las cosas, se necesitan ingresos para poder comprar bienes o derechos. Al ser las rentas ajustadas inferiores a la variación presentada en el patrimonio, no existe a primera vista, una justificación del incremento. </t>
    </r>
    <r>
      <rPr>
        <b/>
        <u/>
        <sz val="12"/>
        <color theme="5" tint="-0.499984740745262"/>
        <rFont val="Arial"/>
        <family val="2"/>
      </rPr>
      <t>Hay renta por comparación patrimonial</t>
    </r>
  </si>
  <si>
    <r>
      <t>Esta es la situación ideal, ya que se ve reflejado de manera clara los ingresos con los cuales fue posible comprar bienes y derechos que incrementaron el patrimonio líquido.</t>
    </r>
    <r>
      <rPr>
        <b/>
        <u/>
        <sz val="12"/>
        <color theme="5" tint="-0.499984740745262"/>
        <rFont val="Arial"/>
        <family val="2"/>
      </rPr>
      <t xml:space="preserve"> No hay renta por comparación patrimonial</t>
    </r>
  </si>
  <si>
    <t>Si</t>
  </si>
  <si>
    <t>CUENTAS POR COBRAR, INVENTARIOS:</t>
  </si>
  <si>
    <t>Intereses por prestamos de vivienda (casa habitación)</t>
  </si>
  <si>
    <t>Rentas liquidas gravables Art 239-1 y otras</t>
  </si>
  <si>
    <t>ENTIDADES FINANCiERAS, FONDOS CESANTIAS, ETC</t>
  </si>
  <si>
    <r>
      <t xml:space="preserve">Para el anticipo digite: </t>
    </r>
    <r>
      <rPr>
        <b/>
        <sz val="12"/>
        <color indexed="10"/>
        <rFont val="Arial"/>
        <family val="2"/>
      </rPr>
      <t xml:space="preserve">1 </t>
    </r>
    <r>
      <rPr>
        <sz val="12"/>
        <color indexed="8"/>
        <rFont val="Arial"/>
        <family val="2"/>
      </rPr>
      <t xml:space="preserve">declaración por primera vez; </t>
    </r>
    <r>
      <rPr>
        <b/>
        <sz val="12"/>
        <color indexed="10"/>
        <rFont val="Arial"/>
        <family val="2"/>
      </rPr>
      <t>2</t>
    </r>
    <r>
      <rPr>
        <sz val="12"/>
        <color indexed="10"/>
        <rFont val="Arial"/>
        <family val="2"/>
      </rPr>
      <t xml:space="preserve"> </t>
    </r>
    <r>
      <rPr>
        <sz val="12"/>
        <color indexed="8"/>
        <rFont val="Arial"/>
        <family val="2"/>
      </rPr>
      <t xml:space="preserve">declaración por segunda vez; </t>
    </r>
    <r>
      <rPr>
        <b/>
        <sz val="12"/>
        <color indexed="10"/>
        <rFont val="Arial"/>
        <family val="2"/>
      </rPr>
      <t>3</t>
    </r>
    <r>
      <rPr>
        <sz val="12"/>
        <color indexed="10"/>
        <rFont val="Arial"/>
        <family val="2"/>
      </rPr>
      <t xml:space="preserve"> </t>
    </r>
    <r>
      <rPr>
        <sz val="12"/>
        <color indexed="8"/>
        <rFont val="Arial"/>
        <family val="2"/>
      </rPr>
      <t xml:space="preserve">declara por tercera y siguientes años; </t>
    </r>
    <r>
      <rPr>
        <b/>
        <sz val="12"/>
        <color indexed="10"/>
        <rFont val="Arial"/>
        <family val="2"/>
      </rPr>
      <t>4</t>
    </r>
    <r>
      <rPr>
        <sz val="12"/>
        <color indexed="10"/>
        <rFont val="Arial"/>
        <family val="2"/>
      </rPr>
      <t xml:space="preserve"> </t>
    </r>
    <r>
      <rPr>
        <sz val="12"/>
        <color indexed="8"/>
        <rFont val="Arial"/>
        <family val="2"/>
      </rPr>
      <t>declaración del año corriente es la última que presenta.</t>
    </r>
  </si>
  <si>
    <t>(Dividendos en UVT menos 300 UVT) X 10%</t>
  </si>
  <si>
    <t>Honorarios</t>
  </si>
  <si>
    <t>Aporte riesgo laboral</t>
  </si>
  <si>
    <t>Total saldo
a favor</t>
  </si>
  <si>
    <t>Saldo a pagar
por impuesto</t>
  </si>
  <si>
    <t>Saldo a favor del año gravable anterior sin solicitud de 
devolución y/o compensación</t>
  </si>
  <si>
    <t>Total impuesto a cargo</t>
  </si>
  <si>
    <t>Ingresos por ganancias ocasionales en el país y del exterior</t>
  </si>
  <si>
    <t>Ganancias
ocasionales</t>
  </si>
  <si>
    <t>Descuento por impuestos pagados en el exterior por 
ganancias ocasionales</t>
  </si>
  <si>
    <t>Rentas exentas de la casilla 109</t>
  </si>
  <si>
    <t>2a. Subcédula año 2017 y siguientes parágrafo 2 
art. 49 del E.T.</t>
  </si>
  <si>
    <t>Total des-
cuentos trib.</t>
  </si>
  <si>
    <t>1a. Subcédula año 2017 y siguientes numeral 3 art. 
49 del E.T.</t>
  </si>
  <si>
    <t>Imp. Pagados
en el exterior</t>
  </si>
  <si>
    <t>Renta líquida ordinaria año 2016 y anteriores</t>
  </si>
  <si>
    <t>Total impuestos sobre las rentas líquidas gravables</t>
  </si>
  <si>
    <t xml:space="preserve">Cédula de dividendos y 
participaciones </t>
  </si>
  <si>
    <t>Por dividendos y partipaciones año 2017 y 
siguientes, 1a. subcédula</t>
  </si>
  <si>
    <t>Renta líquida gravable cédula de pensiones</t>
  </si>
  <si>
    <t>Impuesto sobre las rentas
líquidas gravables</t>
  </si>
  <si>
    <t>Cédula de 
pensiones</t>
  </si>
  <si>
    <t>R. liq. grav.
cédula gen.</t>
  </si>
  <si>
    <t>Rentas
gravables</t>
  </si>
  <si>
    <t>R. liq. ord.
cédula gen.</t>
  </si>
  <si>
    <t>Ren. ex.  y
ded. Imp. Li.</t>
  </si>
  <si>
    <t>Ren. líquida
céd. gen.</t>
  </si>
  <si>
    <t>Renta líquida ordinaria</t>
  </si>
  <si>
    <t>Compensaciones por pérdidas</t>
  </si>
  <si>
    <t>Pérdida líquida del ejercicio</t>
  </si>
  <si>
    <t>Renta líquida ordinaria del ejercicio</t>
  </si>
  <si>
    <t>Rentas exentas y/o deducciones imputables (limitadas)</t>
  </si>
  <si>
    <t>Total deducciones imputables</t>
  </si>
  <si>
    <t>Otras deducciones imputables</t>
  </si>
  <si>
    <t>Intereses de vivienda</t>
  </si>
  <si>
    <t>Deducciones imputables</t>
  </si>
  <si>
    <t>Total rentas exentas</t>
  </si>
  <si>
    <t>Otras rentas exentas</t>
  </si>
  <si>
    <t>Aportes voluntarios  AFC, FVP y/o AVC</t>
  </si>
  <si>
    <t>Rentas líquidas pasivas - ECE</t>
  </si>
  <si>
    <t>Costos y deducciones procedentes</t>
  </si>
  <si>
    <t>Ingresos brutos</t>
  </si>
  <si>
    <t>Rentas por honorarios y comp. Serv. Personales sujetos a costos y gastos y no renta exenta num. 10 Art. 206 E.T.</t>
  </si>
  <si>
    <t>Conceptos / renta</t>
  </si>
  <si>
    <t>Total patrimonio líquido</t>
  </si>
  <si>
    <t>Segundo apellido</t>
  </si>
  <si>
    <t>Primer apellido</t>
  </si>
  <si>
    <t>DV</t>
  </si>
  <si>
    <t>Numero de identificación tributaria</t>
  </si>
  <si>
    <t>Datos declarante</t>
  </si>
  <si>
    <t>Declaración de renta y complementarios
personas naturales y asimiladas residentes
y sucesiones ilíquidas de causantes residentes</t>
  </si>
  <si>
    <t xml:space="preserve">Comisiones </t>
  </si>
  <si>
    <t>Servicios personales</t>
  </si>
  <si>
    <t xml:space="preserve">Intereses sobre cesantías </t>
  </si>
  <si>
    <t>Salarios funcionarios de organismos multilaterales</t>
  </si>
  <si>
    <t>Salarios y/o honorarios vinculados proyectos de investigación (Art. 57-2 E.T.)</t>
  </si>
  <si>
    <t>Ahorro en cuenta AFC y/o AVC</t>
  </si>
  <si>
    <t>RENTAS DE TRABAJO Y/O HONORARIOS</t>
  </si>
  <si>
    <t>Costos y  deducciones</t>
  </si>
  <si>
    <t>Compensación de perdidas</t>
  </si>
  <si>
    <t xml:space="preserve">Ingreso Rentas por honorarios </t>
  </si>
  <si>
    <t>Rentas exentas y deducciones - Honorarios</t>
  </si>
  <si>
    <t>Rentas exentas y deducciones - Honorarios (limitadas)</t>
  </si>
  <si>
    <t>Aporte voluntario a fondo obligatorio porvenir - RAIS - Honorarios</t>
  </si>
  <si>
    <t>INCRNGO</t>
  </si>
  <si>
    <t>,</t>
  </si>
  <si>
    <t>Renglón 43</t>
  </si>
  <si>
    <t>Renglón 44</t>
  </si>
  <si>
    <t>Renglón 45</t>
  </si>
  <si>
    <t>R. 47</t>
  </si>
  <si>
    <t>Renglón 48</t>
  </si>
  <si>
    <t>R. 50</t>
  </si>
  <si>
    <t>Renglón 74</t>
  </si>
  <si>
    <t>Renglón 75</t>
  </si>
  <si>
    <t>Renglón 76</t>
  </si>
  <si>
    <t>Renglón 77</t>
  </si>
  <si>
    <t>Renglón 79</t>
  </si>
  <si>
    <t>R. 80</t>
  </si>
  <si>
    <t>R. 81</t>
  </si>
  <si>
    <t>R. 83</t>
  </si>
  <si>
    <t>R. 84</t>
  </si>
  <si>
    <t>R. 89</t>
  </si>
  <si>
    <t>Rengón 58</t>
  </si>
  <si>
    <t>Renglón 59</t>
  </si>
  <si>
    <t>Renglón 60</t>
  </si>
  <si>
    <t>R.63</t>
  </si>
  <si>
    <t>R. 66</t>
  </si>
  <si>
    <t>R.67</t>
  </si>
  <si>
    <t>Renglón 62</t>
  </si>
  <si>
    <t>R. 72</t>
  </si>
  <si>
    <t>Renglón 99</t>
  </si>
  <si>
    <t>Renglón 100</t>
  </si>
  <si>
    <t>Renglón 102</t>
  </si>
  <si>
    <t>Renglón 30</t>
  </si>
  <si>
    <t>Renglon 104</t>
  </si>
  <si>
    <t>Renglon 105</t>
  </si>
  <si>
    <t>Renglon 107</t>
  </si>
  <si>
    <t>Renglon 108</t>
  </si>
  <si>
    <t>Renglon 109</t>
  </si>
  <si>
    <t>Renglon 110</t>
  </si>
  <si>
    <t>Renglón 133</t>
  </si>
  <si>
    <t>Renglón 134</t>
  </si>
  <si>
    <t>ACCIONES, APORTES EN SOCIDADES</t>
  </si>
  <si>
    <t>ACTIVOS FIJOS Y OTROS ACTIVOS - OPCIÓN 1</t>
  </si>
  <si>
    <t xml:space="preserve">Apoyos ecónomicos (Art 46 E.T.) </t>
  </si>
  <si>
    <r>
      <t xml:space="preserve">Exceso de salario fuerzas militares. (Numeral 8 Art. 206 E.T.). </t>
    </r>
    <r>
      <rPr>
        <b/>
        <sz val="12"/>
        <color theme="4" tint="-0.499984740745262"/>
        <rFont val="Arial"/>
        <family val="2"/>
      </rPr>
      <t>No limitada</t>
    </r>
  </si>
  <si>
    <r>
      <t xml:space="preserve">Seguro por muerte, compensaciones por muerte y prestaciones sociales de FFMM.  (Numeral 6 Art. 206 E.T.). </t>
    </r>
    <r>
      <rPr>
        <b/>
        <u/>
        <sz val="12"/>
        <color theme="4" tint="-0.499984740745262"/>
        <rFont val="Arial"/>
        <family val="2"/>
      </rPr>
      <t>No limitada</t>
    </r>
  </si>
  <si>
    <r>
      <t>Retiro de cesantias antes del año 2016 (Ley 1819 del 2016)</t>
    </r>
    <r>
      <rPr>
        <b/>
        <sz val="12"/>
        <color theme="1"/>
        <rFont val="Arial"/>
        <family val="2"/>
      </rPr>
      <t xml:space="preserve"> </t>
    </r>
    <r>
      <rPr>
        <b/>
        <sz val="12"/>
        <color theme="4" tint="-0.499984740745262"/>
        <rFont val="Arial"/>
        <family val="2"/>
      </rPr>
      <t>No limitada</t>
    </r>
  </si>
  <si>
    <r>
      <t xml:space="preserve">Gastos de representación rectores y profesores universidades publicas. (Numeral 9 Art. 206 E.T.). </t>
    </r>
    <r>
      <rPr>
        <b/>
        <u/>
        <sz val="12"/>
        <color theme="4" tint="-0.499984740745262"/>
        <rFont val="Arial"/>
        <family val="2"/>
      </rPr>
      <t>No limitada</t>
    </r>
  </si>
  <si>
    <r>
      <t>Prima especial  y prima de costo de vida servidores publicos - Diplomaticos. ( Art. 206-1 E.T.).</t>
    </r>
    <r>
      <rPr>
        <b/>
        <sz val="12"/>
        <color theme="1"/>
        <rFont val="Arial"/>
        <family val="2"/>
      </rPr>
      <t xml:space="preserve"> </t>
    </r>
    <r>
      <rPr>
        <b/>
        <sz val="12"/>
        <color theme="4" tint="-0.499984740745262"/>
        <rFont val="Arial"/>
        <family val="2"/>
      </rPr>
      <t>No limitada</t>
    </r>
  </si>
  <si>
    <t>Menor</t>
  </si>
  <si>
    <t>Renta laboral</t>
  </si>
  <si>
    <t>Saldo</t>
  </si>
  <si>
    <t>Limite deducciones</t>
  </si>
  <si>
    <t>Limite 12 UVT al mes</t>
  </si>
  <si>
    <t>Medicina prepagada</t>
  </si>
  <si>
    <t>10% del ingreso</t>
  </si>
  <si>
    <t>Renta de honorarios</t>
  </si>
  <si>
    <t>Deducción trabajo</t>
  </si>
  <si>
    <t>Deducción honorario</t>
  </si>
  <si>
    <t>Total deduciones</t>
  </si>
  <si>
    <t>Casilla</t>
  </si>
  <si>
    <t>Casilla 50</t>
  </si>
  <si>
    <t>LIMITE INGRESOS</t>
  </si>
  <si>
    <t>Limite 2500 UVT</t>
  </si>
  <si>
    <t>APORTES VOLUNTARIOS</t>
  </si>
  <si>
    <r>
      <t xml:space="preserve">Rentas por servicios hoteleros en nuevos o remodelados </t>
    </r>
    <r>
      <rPr>
        <b/>
        <i/>
        <sz val="12"/>
        <color theme="4" tint="-0.499984740745262"/>
        <rFont val="Arial"/>
        <family val="2"/>
      </rPr>
      <t>(No limitada)</t>
    </r>
  </si>
  <si>
    <t>Descuento por impuestos pagados en el exterior por  ganancias ocasionales</t>
  </si>
  <si>
    <t>Limite UVT</t>
  </si>
  <si>
    <t>Valor reportad</t>
  </si>
  <si>
    <t>Condicional 2</t>
  </si>
  <si>
    <t>A resultar</t>
  </si>
  <si>
    <t>A restar</t>
  </si>
  <si>
    <t>Valor reportado</t>
  </si>
  <si>
    <t>Valor a reportar</t>
  </si>
  <si>
    <t>FINAL DE HONORARIOS</t>
  </si>
  <si>
    <t>Aportes voluntarios - honorarios</t>
  </si>
  <si>
    <t>VALOR A REPORTAR</t>
  </si>
  <si>
    <t>total</t>
  </si>
  <si>
    <r>
      <rPr>
        <sz val="8"/>
        <color rgb="FF333333"/>
        <rFont val="Trebuchet MS"/>
        <family val="2"/>
      </rPr>
      <t>1955 y anteriores</t>
    </r>
  </si>
  <si>
    <r>
      <rPr>
        <sz val="8"/>
        <color rgb="FF333333"/>
        <rFont val="Trebuchet MS"/>
        <family val="2"/>
      </rPr>
      <t>722, 17</t>
    </r>
  </si>
  <si>
    <r>
      <rPr>
        <sz val="8"/>
        <color rgb="FF333333"/>
        <rFont val="Trebuchet MS"/>
        <family val="2"/>
      </rPr>
      <t>37, 10</t>
    </r>
  </si>
  <si>
    <t>Componente inflacionario</t>
  </si>
  <si>
    <t>Renta exenta pensinoes de Colombia de fuente Nacional</t>
  </si>
  <si>
    <t>Costo de adquisición</t>
  </si>
  <si>
    <t>Acciones</t>
  </si>
  <si>
    <t>GANANCIA OCASIONAL</t>
  </si>
  <si>
    <t>Venta de inmuebles diferente a vivienda</t>
  </si>
  <si>
    <t>Precio de venta</t>
  </si>
  <si>
    <t>Costo fiscal por ganancia ocasional</t>
  </si>
  <si>
    <t>Costo Fiscal año anterior (Avaluo catastral o autoavaluo art. 72 E.T.)</t>
  </si>
  <si>
    <t>Fecha de venta</t>
  </si>
  <si>
    <t> </t>
  </si>
  <si>
    <t>(+) mejoras</t>
  </si>
  <si>
    <t>(+) Valorización</t>
  </si>
  <si>
    <t>Ajuste incremento porcentual del v/r. de la propiedad raíz entre el año de la compra y el año de la venta</t>
  </si>
  <si>
    <t>Costo reajustado</t>
  </si>
  <si>
    <t>Venta casa habitación</t>
  </si>
  <si>
    <t>Herencias</t>
  </si>
  <si>
    <t>Joyas</t>
  </si>
  <si>
    <t>Vehículo</t>
  </si>
  <si>
    <t>Etc.</t>
  </si>
  <si>
    <t>Porción conyugal</t>
  </si>
  <si>
    <t>Legado</t>
  </si>
  <si>
    <t>Donaciones y otros Actos</t>
  </si>
  <si>
    <t>Loterias, rifas, chances</t>
  </si>
  <si>
    <t>Total costo por ganancia ocasional</t>
  </si>
  <si>
    <t>Ingreso por ganancia ocasional al 20%</t>
  </si>
  <si>
    <t>Total ingreso por ganancia ocasional</t>
  </si>
  <si>
    <t>Donaciones y otros actos jurídico intervivos</t>
  </si>
  <si>
    <t>Total ingresos por G.O.</t>
  </si>
  <si>
    <t>Total costo por G.O.</t>
  </si>
  <si>
    <t>Ganancia ocasional inicial</t>
  </si>
  <si>
    <t>Indique el numero de legitimarios</t>
  </si>
  <si>
    <t>N/A</t>
  </si>
  <si>
    <t>g.o. exenta num. 1 art. 307 E.T.</t>
  </si>
  <si>
    <t>g.o. exenta num. 2 art. 307 E.T.</t>
  </si>
  <si>
    <t>g.o. exenta num. 3 art. 307 E.T.</t>
  </si>
  <si>
    <t>g.o. exenta art. 311-1 E.T.</t>
  </si>
  <si>
    <t>Total ganancias ocasionales exentas</t>
  </si>
  <si>
    <t>g.o. exenta num. 4 art. 307 E.T.</t>
  </si>
  <si>
    <t>g.o. art. 311-1 E.T.</t>
  </si>
  <si>
    <t>IMPUESTO DE GANANCIA OCASIONAL</t>
  </si>
  <si>
    <t>(-) Costo por ganancia ocasional</t>
  </si>
  <si>
    <t>(-) Ganancia ocasional no gravada y exenta</t>
  </si>
  <si>
    <t>Ingreso por ganancia ocasional a la tarifa del 20%</t>
  </si>
  <si>
    <t>Impuesto de Ganancia Ocasionales 20%</t>
  </si>
  <si>
    <t>Total impuesto por ganancia ocasional</t>
  </si>
  <si>
    <t>Renglón 111</t>
  </si>
  <si>
    <t>Renglón 115</t>
  </si>
  <si>
    <t>Renglón 128</t>
  </si>
  <si>
    <t>Nuda propiedad</t>
  </si>
  <si>
    <t>Rendimientos financieros con componente inflacionario</t>
  </si>
  <si>
    <t>Intereses de fuente nacional y del exterior</t>
  </si>
  <si>
    <t>Valor primera subcedula Renglón 107</t>
  </si>
  <si>
    <t>Valor segunda subcédula (Renglones 108)</t>
  </si>
  <si>
    <t>Valores</t>
  </si>
  <si>
    <t>Rentas exentas (sin límite) y ganancias ocasionales exentas y no gravadas</t>
  </si>
  <si>
    <t>Ingresos no constitutivos de renta ni ganancia ocasional</t>
  </si>
  <si>
    <t>Ganancias ocasionales netas (ingreso por ganancia ocasional - costos por ganancia ocasional)</t>
  </si>
  <si>
    <t>Resultado</t>
  </si>
  <si>
    <t>Renta liq pension</t>
  </si>
  <si>
    <t>R.L.C.GENERAL</t>
  </si>
  <si>
    <t>GANANCIAS OCASIONALES  EXENTAS</t>
  </si>
  <si>
    <t>Rentas exentas de la casilla 110</t>
  </si>
  <si>
    <t>Otros descuentos tributarios</t>
  </si>
  <si>
    <t>No</t>
  </si>
  <si>
    <t>r. trabajo</t>
  </si>
  <si>
    <t>r. capital</t>
  </si>
  <si>
    <t>r. no laboral</t>
  </si>
  <si>
    <t>C. dividendos</t>
  </si>
  <si>
    <t>g. ocasional</t>
  </si>
  <si>
    <t>R capital y no labo</t>
  </si>
  <si>
    <t xml:space="preserve">Salarios </t>
  </si>
  <si>
    <t>Valor castastral o autovaluo año venta (2022)</t>
  </si>
  <si>
    <t>Costos honorarios</t>
  </si>
  <si>
    <t>Año de adquisición</t>
  </si>
  <si>
    <t>Acciones y Aportes</t>
  </si>
  <si>
    <t>Bienes Raíces</t>
  </si>
  <si>
    <t>Multiplicar por</t>
  </si>
  <si>
    <t>1955 y anteriores</t>
  </si>
  <si>
    <t>5. Numero de identificación tributaria (NIT)</t>
  </si>
  <si>
    <t>6. DV</t>
  </si>
  <si>
    <t>7. Primer apellido</t>
  </si>
  <si>
    <t>8. Segundo apellido</t>
  </si>
  <si>
    <t>9. Primer nombre</t>
  </si>
  <si>
    <t>10. Otros nombres</t>
  </si>
  <si>
    <t>12. Cod Dir</t>
  </si>
  <si>
    <t>24. Actividad economica</t>
  </si>
  <si>
    <t xml:space="preserve"> 26. N° del formulario anterior</t>
  </si>
  <si>
    <t xml:space="preserve">Si es una correción indique:      25. Cod            </t>
  </si>
  <si>
    <t>27. fraccion año gravable siguiente</t>
  </si>
  <si>
    <t>28. Uno porciento (1%) de compras con factura electronica</t>
  </si>
  <si>
    <t>Rentas de trabajo que no provengan de una relacion laboral o legal y reglamentaria</t>
  </si>
  <si>
    <t>Comp. Pérdidas año 2018 y ant.</t>
  </si>
  <si>
    <t>Comp. por exc. renta presuntiva</t>
  </si>
  <si>
    <t>Dividendos y participaciones recibidas del exterior</t>
  </si>
  <si>
    <t>Renta liquida gravable (Cédula general o renta presuntiva, de pensiones y de dividendos y participaciones, art.241 E.T.)</t>
  </si>
  <si>
    <t>Cédula general, de pensiones y de dividendos y participaciones</t>
  </si>
  <si>
    <t>Renta presuntiva, de pensiones y de dividendos y participaciones</t>
  </si>
  <si>
    <t>Por dividendos y partipaciones año 2016</t>
  </si>
  <si>
    <t>Por dividendos y partipaciones recibidas del exterior</t>
  </si>
  <si>
    <t>Dividendos, partic y otros</t>
  </si>
  <si>
    <t>Total Saldo a pagar</t>
  </si>
  <si>
    <t>Número de dependientes economicos</t>
  </si>
  <si>
    <t>Adición por dependientes a la casilla 92</t>
  </si>
  <si>
    <t>Ud. Superó tope indicativo art.336-1 del ET, marque X</t>
  </si>
  <si>
    <t>Aporte voluntario</t>
  </si>
  <si>
    <t>No factura</t>
  </si>
  <si>
    <t>Derecho deducción.</t>
  </si>
  <si>
    <t>Deducción a tomar</t>
  </si>
  <si>
    <t>Nombre del dependiente económico</t>
  </si>
  <si>
    <t>Deducción</t>
  </si>
  <si>
    <t>Total Duducción Adicional</t>
  </si>
  <si>
    <t>Juan</t>
  </si>
  <si>
    <t>Valor UVT año 2023</t>
  </si>
  <si>
    <t>(B) Maximo 1.340 UVT</t>
  </si>
  <si>
    <t>Valor primera parte del impuesto 35%</t>
  </si>
  <si>
    <t>Descuento dividendos</t>
  </si>
  <si>
    <t>Ingreso por ganancia ocasional a la tarifa del 15%</t>
  </si>
  <si>
    <t>(=) Ganancia Ocasional Gravable a la tarifa del 15%</t>
  </si>
  <si>
    <t>Impuesto de Ganancia Ocasionales 15%</t>
  </si>
  <si>
    <t>Pedro</t>
  </si>
  <si>
    <t>Sandra</t>
  </si>
  <si>
    <t>Camilo</t>
  </si>
  <si>
    <t>Deducción por medicina prepagada y plan complementario</t>
  </si>
  <si>
    <t>De fuente nacional y de fuente extranjera</t>
  </si>
  <si>
    <t>Colpensiones</t>
  </si>
  <si>
    <t>Estados Unidos</t>
  </si>
  <si>
    <t>aporte a salud</t>
  </si>
  <si>
    <t>Por dividendos no gravados y exceso sobre los gravados 2017 y siguientes</t>
  </si>
  <si>
    <t>Ingreso por ganancia ocasional al 15%</t>
  </si>
  <si>
    <t>g.o. exenta num. 4 art. 307 E.T. 20% maximo 1.625 uvt</t>
  </si>
  <si>
    <t>La deducción por dependientes a que se refieren el inciso 2 del numeral 3 del artículo 336 y la del artículo 387 del Estatuto Tributario aplican únicamente a los ingresos provenientes de rentas de trabajo y un mismo dependiente solo dará lugar a una de estas dos deducciones, excepto cuando se tenga rentas provenientes de una relación laboral y legal o reglamentaria: caso en el cual se podrá aplicar ambas deducciones por un mismo dependiente."</t>
  </si>
  <si>
    <t>Deducción adicional individual por dependiente</t>
  </si>
  <si>
    <t>Valor factura incluido  IVA</t>
  </si>
  <si>
    <t>TOTAL 1% COMPRAS REALIZADAS</t>
  </si>
  <si>
    <t>LÍMITE (Art 336 Numeral 5 - 240 UVT)</t>
  </si>
  <si>
    <t>5. Las personas naturales que declaren ingresos de la cédula general a los que se refiere el artículo 335 de este Estatuto, que adquieran bienes y/o servicios, podrán solicitar como deducción en el impuesto sobre la renta, independientemente que tenga o no relación de causalidad con la actividad productora de renta del contribuyente, el uno por ciento (1%) del valor de las adquisiciones, sin que exceda doscientas cuarenta (240) UVT en el respectivo año gravable, siempre que se cumpla con los siguientes requisitos:
5.1. Que la adquisición del bien y/o del servicio no haya sido solicitada como costo o deducción en el impuesto sobre la renta, impuesto descontable en el impuesto sobre las ventas -IVA, ingreso no constitutivo de renta ni ganancia ocasional, renta exenta, descuento tributario u otro tipo de beneficio o crédito fiscal.
5.2. Que la adquisición del bien y/o del servicio esté soportada con factura electrónica de venta con validación previa, en donde se identifique el adquirente con nombres y apellidos y el número de identificación tributaria -NIT o número de documento de identificación, y con el cumplimiento de todos los demás requisitos exigibles para este sistema de facturación.
5.3. Que la factura electrónica de venta se encuentre pagada a través de tarjeta débito/crédito o cualquier medio electrónico en el cual intervenga una entidad vigilada por la Superintendencia Financiera o quien haga sus veces dentro del periodo gravable en el cual se solicita la deducción de que trata el presente numeral.
5.4. Que la factura electrónica de venta haya sido expedida por sujetos obligados a expedirla.</t>
  </si>
  <si>
    <t>Porvenir</t>
  </si>
  <si>
    <t>Ganancias ocasionales gravables</t>
  </si>
  <si>
    <t xml:space="preserve">CLAVE FIRMA: </t>
  </si>
  <si>
    <t>Costo fiscal a Dic. 31 de 2024</t>
  </si>
  <si>
    <t>CÁLCULO DEL ANTICIPO DE RENTA POR EL AÑO GRAVABLE 2025</t>
  </si>
  <si>
    <t>Año</t>
  </si>
  <si>
    <t>Acciones y aportes</t>
  </si>
  <si>
    <t>Bienes urbanos</t>
  </si>
  <si>
    <t xml:space="preserve">ACCESO: </t>
  </si>
  <si>
    <t>Valor Patrimonial a Diciembre 31 de 2024 y Valorización</t>
  </si>
  <si>
    <t>Primer Nombre</t>
  </si>
  <si>
    <t>Otros Nombres</t>
  </si>
  <si>
    <t>Actividad Económica</t>
  </si>
  <si>
    <t>Corrección - De ser afirmativo marque x</t>
  </si>
  <si>
    <t>No. formulario Anterior</t>
  </si>
  <si>
    <t>Número de dependientes</t>
  </si>
  <si>
    <t>DECLARACIÓN DE RENTA Y COMPLEMENTARIOS</t>
  </si>
  <si>
    <t>Personas naturales y sucesiones ilíquidas</t>
  </si>
  <si>
    <t>Declaración y pago</t>
  </si>
  <si>
    <t>Últimos 2 dígito del NIT</t>
  </si>
  <si>
    <t>Fecha límite</t>
  </si>
  <si>
    <t xml:space="preserve"> 01 Y 02</t>
  </si>
  <si>
    <t>21 Y 22</t>
  </si>
  <si>
    <t>41 Y 42</t>
  </si>
  <si>
    <t>61 Y 62</t>
  </si>
  <si>
    <t>81 Y 82</t>
  </si>
  <si>
    <t xml:space="preserve"> 03 Y 04</t>
  </si>
  <si>
    <t>23 Y 24</t>
  </si>
  <si>
    <t>43 Y 44</t>
  </si>
  <si>
    <t>63 Y 64</t>
  </si>
  <si>
    <t>83 Y 84</t>
  </si>
  <si>
    <t xml:space="preserve"> 05 Y 06</t>
  </si>
  <si>
    <t>25 Y 26</t>
  </si>
  <si>
    <t>45 Y 46</t>
  </si>
  <si>
    <t>65 Y 66</t>
  </si>
  <si>
    <t>85 Y 86</t>
  </si>
  <si>
    <t xml:space="preserve"> 07 Y 08</t>
  </si>
  <si>
    <t>27 Y 28</t>
  </si>
  <si>
    <t>47 Y 48</t>
  </si>
  <si>
    <t>67 Y 68</t>
  </si>
  <si>
    <t>87 Y 88</t>
  </si>
  <si>
    <t xml:space="preserve"> 09 Y 10</t>
  </si>
  <si>
    <t>29 Y 30</t>
  </si>
  <si>
    <t>49 Y 50</t>
  </si>
  <si>
    <t>69 Y 70</t>
  </si>
  <si>
    <t>89 Y 90</t>
  </si>
  <si>
    <t xml:space="preserve"> 11 Y 12</t>
  </si>
  <si>
    <t>31 Y 32</t>
  </si>
  <si>
    <t>51 Y 52</t>
  </si>
  <si>
    <t>71 Y 72</t>
  </si>
  <si>
    <t>91 Y 92</t>
  </si>
  <si>
    <t>13 Y 14</t>
  </si>
  <si>
    <t>33 Y 34</t>
  </si>
  <si>
    <t>53 Y 54</t>
  </si>
  <si>
    <t>73 Y 74</t>
  </si>
  <si>
    <t>93 Y 94</t>
  </si>
  <si>
    <t>15 Y 16</t>
  </si>
  <si>
    <t>35 Y 36</t>
  </si>
  <si>
    <t>55 Y 56</t>
  </si>
  <si>
    <t>75 Y 76</t>
  </si>
  <si>
    <t>95 Y 96</t>
  </si>
  <si>
    <t>17 Y 18</t>
  </si>
  <si>
    <t>37 Y 38</t>
  </si>
  <si>
    <t>57 Y 58</t>
  </si>
  <si>
    <t>77 Y 78</t>
  </si>
  <si>
    <t>97 Y 98</t>
  </si>
  <si>
    <t>19 Y 20</t>
  </si>
  <si>
    <t>39 Y 40</t>
  </si>
  <si>
    <t>59 Y 60</t>
  </si>
  <si>
    <t>79 Y 80</t>
  </si>
  <si>
    <t>99 Y 00</t>
  </si>
  <si>
    <t>Fecha de presentación</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</si>
  <si>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</si>
  <si>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</si>
  <si>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</si>
  <si>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</si>
  <si>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</si>
  <si>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</si>
  <si>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</si>
  <si>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</si>
  <si>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</si>
  <si>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</si>
  <si>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</si>
  <si>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</si>
  <si>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</si>
  <si>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</si>
  <si>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</si>
  <si>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</si>
  <si>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</si>
  <si>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</si>
  <si>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</si>
  <si>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</si>
  <si>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</si>
  <si>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</si>
  <si>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</si>
  <si>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</si>
  <si>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</si>
  <si>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</si>
  <si>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</si>
  <si>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</si>
  <si>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</si>
  <si>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</si>
  <si>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</si>
  <si>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</si>
  <si>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</si>
  <si>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</si>
  <si>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</si>
  <si>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</si>
  <si>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</si>
  <si>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</si>
  <si>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</si>
  <si>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</si>
  <si>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</si>
  <si>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</si>
  <si>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</si>
  <si>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</si>
  <si>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</si>
  <si>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</si>
  <si>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</si>
  <si>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</si>
  <si>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</si>
  <si>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</si>
  <si>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</si>
  <si>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</si>
  <si>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</si>
  <si>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</si>
  <si>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</si>
  <si>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</si>
  <si>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</si>
  <si>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</si>
  <si>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</si>
  <si>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</si>
  <si>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</si>
  <si>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</si>
  <si>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</si>
  <si>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</si>
  <si>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</si>
  <si>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</si>
  <si>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</si>
  <si>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</si>
  <si>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</si>
  <si>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</si>
  <si>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</si>
  <si>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</si>
  <si>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</si>
  <si>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</si>
  <si>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</si>
  <si>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</si>
  <si>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</si>
  <si>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</si>
  <si>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</si>
  <si>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</si>
  <si>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</si>
  <si>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</si>
  <si>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</si>
  <si>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</si>
  <si>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</si>
  <si>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</si>
  <si>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</si>
  <si>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</si>
  <si>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</si>
  <si>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</si>
  <si>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</si>
  <si>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</si>
  <si>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</si>
  <si>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</si>
  <si>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</si>
  <si>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</si>
  <si>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</si>
  <si>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</si>
  <si>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</si>
  <si>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00</t>
  </si>
  <si>
    <t>No digitar fecha - Automático</t>
  </si>
  <si>
    <t>Sólo digite el número de dependientes</t>
  </si>
  <si>
    <t>Inmueble de vivienda del causante</t>
  </si>
  <si>
    <t>Demás inmuebles diferentes al de la vivienda del causante</t>
  </si>
  <si>
    <t>(+) mejoras en el año de la venta</t>
  </si>
  <si>
    <t>(+) Valorización en el año de la venta</t>
  </si>
  <si>
    <t>Fecha de compra</t>
  </si>
  <si>
    <t>Costo fiscal reajustado</t>
  </si>
  <si>
    <t>Bines raices o acciones o aportes</t>
  </si>
  <si>
    <t>AÑO</t>
  </si>
  <si>
    <t>%</t>
  </si>
  <si>
    <t>VALOR BASE</t>
  </si>
  <si>
    <t>REAJUSTE</t>
  </si>
  <si>
    <t>TOTAL REAJUSTADO</t>
  </si>
  <si>
    <t>Normatividad</t>
  </si>
  <si>
    <t>Decreto 2247 de 1974</t>
  </si>
  <si>
    <t>Decreto 187 de 1975</t>
  </si>
  <si>
    <t>Ley 19 de 1976</t>
  </si>
  <si>
    <t>Ley 54 de 1977</t>
  </si>
  <si>
    <t>Decreto 2114 de 1978</t>
  </si>
  <si>
    <t>Ley 20 de 1979 /Decreto 2326 de 1979</t>
  </si>
  <si>
    <t>Decreto 2534 de 1980</t>
  </si>
  <si>
    <t>Decreto 2655 de 1981</t>
  </si>
  <si>
    <t>Decreto  2809 de 1982</t>
  </si>
  <si>
    <t>Ley 9 de 1983/Decreto 2124 de 1983</t>
  </si>
  <si>
    <t>Decreto 1843 de 1984</t>
  </si>
  <si>
    <t>Decreto 2032 de 1985</t>
  </si>
  <si>
    <t>Ley 75 de 1986/Decreto 2444 de 1986</t>
  </si>
  <si>
    <t>Decreto 59 de 1987</t>
  </si>
  <si>
    <t>Decreto 2540 de 1987</t>
  </si>
  <si>
    <t>Decreto 2671 de 1988</t>
  </si>
  <si>
    <t>Decreto 624 de 1989 / Decreto 3018 de 1989</t>
  </si>
  <si>
    <t>Decreto 3100 de 1990</t>
  </si>
  <si>
    <t>Certificación DANE 102300</t>
  </si>
  <si>
    <t>Certificación DANE 102294</t>
  </si>
  <si>
    <t>Certificación DANE 102295</t>
  </si>
  <si>
    <t>Decreto 00400 de 1996</t>
  </si>
  <si>
    <t>Decreto 00476 de 1997</t>
  </si>
  <si>
    <t>Decreto 00378 de 1998</t>
  </si>
  <si>
    <t>Decreto 00495 de 1999</t>
  </si>
  <si>
    <t>Decreto 531 de 2000</t>
  </si>
  <si>
    <t>Decreto 0333 de 2001</t>
  </si>
  <si>
    <t>Decreto 00406 de 2002</t>
  </si>
  <si>
    <t>Decreto 3257 de 2002</t>
  </si>
  <si>
    <t>Decreto 03804 de 2003</t>
  </si>
  <si>
    <t>Decreto 4344 de 2003</t>
  </si>
  <si>
    <t>Decreto 4715 de 2005</t>
  </si>
  <si>
    <t>Res. 15652 de 2006</t>
  </si>
  <si>
    <t> Res.  15013 de 2007</t>
  </si>
  <si>
    <t>Decreto 4715 de 2008</t>
  </si>
  <si>
    <t>Decreto  4930 de 2009</t>
  </si>
  <si>
    <t>Decreto  4837 de 2010</t>
  </si>
  <si>
    <t>Decreto 4908 de 2011</t>
  </si>
  <si>
    <t>Decreto 2714 de 2012</t>
  </si>
  <si>
    <t>Decreto 2921 de 2013</t>
  </si>
  <si>
    <t>Decreto 2624 de 2014</t>
  </si>
  <si>
    <t>Decreto 2453 de 2015</t>
  </si>
  <si>
    <t>Decreto 2202 de 2016</t>
  </si>
  <si>
    <t>Decreto 2169 de 2017</t>
  </si>
  <si>
    <t>Decreto  2391 de 2018</t>
  </si>
  <si>
    <t>Decreto 2373 de 2019</t>
  </si>
  <si>
    <t>Decreto 1763 de 2020</t>
  </si>
  <si>
    <t>Decreto 1846 de 2021</t>
  </si>
  <si>
    <t>Decreto 2609 de 2022</t>
  </si>
  <si>
    <t>Decreto 128 de 2024</t>
  </si>
  <si>
    <t>Decreto 174 de 2025</t>
  </si>
  <si>
    <t>TOTAL REAJUSTE</t>
  </si>
  <si>
    <t>Tipo de inmueble/ Acciones</t>
  </si>
  <si>
    <t>Diligencie esta sección solo si en año anterior el valor patrimonial lo determino de acuerdo al art. 73 E.T.</t>
  </si>
  <si>
    <t>BIENES URBANOS</t>
  </si>
  <si>
    <t>Indemnizacion sustitutiva o devolucion de saldos</t>
  </si>
  <si>
    <t>Vasquez</t>
  </si>
  <si>
    <t>Florez</t>
  </si>
  <si>
    <t>Zorani</t>
  </si>
  <si>
    <t>ACTIVOS FIJOS Y ACCIONES OPCIÓN 2 ART. 73 E.T.</t>
  </si>
  <si>
    <t>Aporte A.R.L. NO TIENE EFECTO FISCAL</t>
  </si>
  <si>
    <t>Comunidad Santa Ana</t>
  </si>
  <si>
    <t>Diana</t>
  </si>
  <si>
    <t>Apto cra 22 No. 45-34 torre 4 apto 624</t>
  </si>
  <si>
    <t>Ganancial liquid sociedad conyugal art. 47 E.T.</t>
  </si>
  <si>
    <t xml:space="preserve">Dividendos no gravados </t>
  </si>
  <si>
    <t xml:space="preserve">Dividendos gravados </t>
  </si>
  <si>
    <t>Otros laborales y prestaciones sociales</t>
  </si>
  <si>
    <t>Seguro de daño componente daño emergente</t>
  </si>
  <si>
    <t>Impuestos pagados en el exterior</t>
  </si>
  <si>
    <t>Costo de compra (y/o mejoras, val. pagadas) del 2025</t>
  </si>
  <si>
    <t>Costo fiscal a Dic. 31 de 2025</t>
  </si>
  <si>
    <t>Avaluo Catastral o Auto avaluo catastral 2025</t>
  </si>
  <si>
    <t>Valor patrimonial a Dic. 31 de 2025</t>
  </si>
  <si>
    <t>Valorización año 2025</t>
  </si>
  <si>
    <t>Costo de compra en el año 2025</t>
  </si>
  <si>
    <t>DECRETO 771 12 JULIO DE 2025</t>
  </si>
  <si>
    <t>Total patrimonio bruto 2024</t>
  </si>
  <si>
    <t>Patrimonio líquido 2024</t>
  </si>
  <si>
    <t>Registre el valor del saldo a favor no solicitado en devolución casilla 138 declaración renta 2024</t>
  </si>
  <si>
    <t>Registre el valor del anticipo para la renta 2025, registrado en la casilla 134 declaración renta año 2024</t>
  </si>
  <si>
    <t>Registre el valor del impuesto neto de renta registrado en la casilla 127 declaración renta año 2024</t>
  </si>
  <si>
    <t>Total anticipo para el año 2026</t>
  </si>
  <si>
    <r>
      <t xml:space="preserve">Valor anticipo definitivo para el impuesto de renta año </t>
    </r>
    <r>
      <rPr>
        <b/>
        <sz val="12"/>
        <rFont val="Arial"/>
        <family val="2"/>
      </rPr>
      <t>2026</t>
    </r>
  </si>
  <si>
    <t>Banco Davivienda</t>
  </si>
  <si>
    <t>Saldo aportes voluntarios a fondo de pensiones voluntarios porvenir</t>
  </si>
  <si>
    <t>CDT Banco Davivienda</t>
  </si>
  <si>
    <t>Banco Caja social cta ahorros</t>
  </si>
  <si>
    <t>Cesar Anzola</t>
  </si>
  <si>
    <t>Acciones en ITGS SAS Cantidad 7.670 vr nomial $8.000</t>
  </si>
  <si>
    <t>Apto calle 19 cra 3</t>
  </si>
  <si>
    <t>Oficina calle 93 cra 15</t>
  </si>
  <si>
    <t>Total costo fiscal Dic. 31 de 2025</t>
  </si>
  <si>
    <t>Credito hipotecario banco davivienda No. xxxx</t>
  </si>
  <si>
    <t>Credito libre inversion Banco Davibank</t>
  </si>
  <si>
    <t>Rendimientos financieros banco davienda</t>
  </si>
  <si>
    <t>Rendimientos financieros banco caja social</t>
  </si>
  <si>
    <t>Arriendo oficina calle 93</t>
  </si>
  <si>
    <t>Predial de la oficina calle 93</t>
  </si>
  <si>
    <t xml:space="preserve">Remodelacion </t>
  </si>
  <si>
    <t xml:space="preserve">Venta de un vehiculo </t>
  </si>
  <si>
    <t>Liquidacion de una sociedad conyugal</t>
  </si>
  <si>
    <t>Otros ingresos</t>
  </si>
  <si>
    <t xml:space="preserve">Ingreso por seguro de daño art. 44 E.T. daño emergente </t>
  </si>
  <si>
    <t xml:space="preserve">Costo del vehiculo </t>
  </si>
  <si>
    <t>Casa calle 3 cra 4</t>
  </si>
  <si>
    <t>Itgs Sas</t>
  </si>
  <si>
    <t>Banco davivienda</t>
  </si>
  <si>
    <t>Banco caja social</t>
  </si>
  <si>
    <t>Secretaria de hacienda (vehiculo)</t>
  </si>
  <si>
    <t>Otros</t>
  </si>
  <si>
    <t>Acciones Banco Davivienda</t>
  </si>
  <si>
    <t>Decreto 0049 de 2026</t>
  </si>
  <si>
    <t>Bienes Rurales</t>
  </si>
  <si>
    <t>Bienes Raíces Rurales dedicados a actividades agropecuarias</t>
  </si>
  <si>
    <t>Incremento patrimonial no justificado</t>
  </si>
  <si>
    <t>Diligencie esta sección solo si en año anterior el VALOR PATRIMONIAL fue determinado con el valor del predial o si desea determinar el costo de la ganancia ocasional con el valor de compra más reajustes fiscales</t>
  </si>
  <si>
    <t>Reajuste fiscal 2025 5,81% Dec. 0049/2026</t>
  </si>
  <si>
    <t>Vehiculo nissa xtrail modelo 2023</t>
  </si>
  <si>
    <t>Factor según tabla art. 73 E.T. (Art. 1 Dec. 0049 2026)</t>
  </si>
  <si>
    <t>Cuotas de administracion ?????</t>
  </si>
  <si>
    <t>Bonificaciones, indemnizaciones, y otros ingresos salariales</t>
  </si>
  <si>
    <t>Bonos de alimentacion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</si>
</sst>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2" formatCode="_-&quot;$&quot;\ * #,##0_-;\-&quot;$&quot;\ * #,##0_-;_-&quot;$&quot;\ * &quot;-&quot;_-;_-@_-"/>
    <numFmt numFmtId="164" formatCode="_(* #,##0_);_(* \(#,##0\);_(* &quot;-&quot;_);_(@_)"/>
    <numFmt numFmtId="165" formatCode="_(* #,##0.00_);_(* \(#,##0.00\);_(* &quot;-&quot;??_);_(@_)"/>
    <numFmt numFmtId="166" formatCode="_-* #,##0\ &quot;€&quot;_-;\-* #,##0\ &quot;€&quot;_-;_-* &quot;-&quot;\ &quot;€&quot;_-;_-@_-"/>
    <numFmt numFmtId="167" formatCode="_-* #,##0\ _€_-;\-* #,##0\ _€_-;_-* &quot;-&quot;\ _€_-;_-@_-"/>
    <numFmt numFmtId="168" formatCode="_-* #,##0.00\ &quot;€&quot;_-;\-* #,##0.00\ &quot;€&quot;_-;_-* &quot;-&quot;??\ &quot;€&quot;_-;_-@_-"/>
    <numFmt numFmtId="169" formatCode="_-* #,##0.00\ _€_-;\-* #,##0.00\ _€_-;_-* &quot;-&quot;??\ _€_-;_-@_-"/>
    <numFmt numFmtId="170" formatCode="&quot;$&quot;\ #,##0;[Red]&quot;$&quot;\ \-#,##0"/>
    <numFmt numFmtId="171" formatCode="_ * #,##0_ ;_ * \-#,##0_ ;_ * &quot;-&quot;_ ;_ @_ "/>
    <numFmt numFmtId="172" formatCode="_ &quot;$&quot;\ * #,##0.00_ ;_ &quot;$&quot;\ * \-#,##0.00_ ;_ &quot;$&quot;\ * &quot;-&quot;??_ ;_ @_ "/>
    <numFmt numFmtId="173" formatCode="_ * #,##0.00_ ;_ * \-#,##0.00_ ;_ * &quot;-&quot;??_ ;_ @_ "/>
    <numFmt numFmtId="174" formatCode="_-* #,##0\ _€_-;\-* #,##0\ _€_-;_-* &quot;-&quot;??\ _€_-;_-@_-"/>
    <numFmt numFmtId="175" formatCode="&quot;$&quot;\ #,##0"/>
    <numFmt numFmtId="176" formatCode="_ [$€-2]\ * #,##0.00_ ;_ [$€-2]\ * \-#,##0.00_ ;_ [$€-2]\ * &quot;-&quot;??_ "/>
    <numFmt numFmtId="177" formatCode="0.0%"/>
    <numFmt numFmtId="178" formatCode="#,##0_ ;\-#,##0\ "/>
    <numFmt numFmtId="179" formatCode="0_ "/>
    <numFmt numFmtId="180" formatCode="yyyy\-mm\-dd;@"/>
    <numFmt numFmtId="181" formatCode="0.E+00"/>
    <numFmt numFmtId="182" formatCode="0.0"/>
    <numFmt numFmtId="183" formatCode="[$-240A]d&quot; de &quot;mmmm&quot; de &quot;yyyy;@"/>
    <numFmt numFmtId="184" formatCode="[$-F800]dddd\,\ mmmm\ dd\,\ yyyy"/>
    <numFmt numFmtId="185" formatCode="_-* #,##0_-;\-* #,##0_-;_-* &quot;-&quot;??_-;_-@_-"/>
  </numFmts>
  <fonts count="89">
    <font>
      <sz val="11"/>
      <color theme="1"/>
      <name val="Calibri"/>
      <family val="2"/>
      <scheme val="minor"/>
    </font>
    <font>
      <sz val="12"/>
      <color theme="1"/>
      <name val="Calibri"/>
      <family val="2"/>
      <scheme val="minor"/>
    </font>
    <font>
      <sz val="11"/>
      <color indexed="8"/>
      <name val="Calibri"/>
      <family val="2"/>
    </font>
    <font>
      <b/>
      <sz val="10"/>
      <name val="Arial"/>
      <family val="2"/>
    </font>
    <font>
      <sz val="10"/>
      <name val="Arial"/>
      <family val="2"/>
    </font>
    <font>
      <sz val="11"/>
      <color indexed="8"/>
      <name val="Calibri"/>
      <family val="2"/>
    </font>
    <font>
      <u/>
      <sz val="11"/>
      <color indexed="12"/>
      <name val="Calibri"/>
      <family val="2"/>
    </font>
    <font>
      <sz val="10"/>
      <name val="Arial"/>
      <family val="2"/>
    </font>
    <font>
      <sz val="12"/>
      <color indexed="8"/>
      <name val="Arial"/>
      <family val="2"/>
    </font>
    <font>
      <sz val="12"/>
      <name val="Arial"/>
      <family val="2"/>
    </font>
    <font>
      <sz val="10"/>
      <name val="Arial"/>
      <family val="2"/>
    </font>
    <font>
      <b/>
      <sz val="10"/>
      <color indexed="8"/>
      <name val="Arial"/>
      <family val="2"/>
    </font>
    <font>
      <sz val="11"/>
      <color indexed="8"/>
      <name val="Calibri"/>
      <family val="2"/>
    </font>
    <font>
      <u/>
      <sz val="10"/>
      <color indexed="12"/>
      <name val="Arial"/>
      <family val="2"/>
    </font>
    <font>
      <sz val="10"/>
      <color indexed="8"/>
      <name val="Calibri"/>
      <family val="2"/>
    </font>
    <font>
      <sz val="10"/>
      <color indexed="8"/>
      <name val="MS Sans Serif"/>
      <family val="2"/>
    </font>
    <font>
      <b/>
      <sz val="12"/>
      <name val="Arial"/>
      <family val="2"/>
    </font>
    <font>
      <sz val="10"/>
      <color indexed="8"/>
      <name val="Arial"/>
      <family val="2"/>
    </font>
    <font>
      <b/>
      <u/>
      <sz val="12"/>
      <color indexed="12"/>
      <name val="Arial"/>
      <family val="2"/>
    </font>
    <font>
      <b/>
      <u/>
      <sz val="11"/>
      <color indexed="12"/>
      <name val="Calibri"/>
      <family val="2"/>
    </font>
    <font>
      <sz val="10"/>
      <name val="Verdana"/>
      <family val="2"/>
    </font>
    <font>
      <b/>
      <i/>
      <sz val="10"/>
      <name val="Arial"/>
      <family val="2"/>
    </font>
    <font>
      <i/>
      <sz val="10"/>
      <name val="Arial"/>
      <family val="2"/>
    </font>
    <font>
      <sz val="12"/>
      <color indexed="10"/>
      <name val="Arial"/>
      <family val="2"/>
    </font>
    <font>
      <b/>
      <sz val="12"/>
      <color indexed="10"/>
      <name val="Arial"/>
      <family val="2"/>
    </font>
    <font>
      <b/>
      <sz val="8"/>
      <name val="Arial"/>
      <family val="2"/>
    </font>
    <font>
      <sz val="8"/>
      <name val="Arial"/>
      <family val="2"/>
    </font>
    <font>
      <sz val="11"/>
      <color theme="1"/>
      <name val="Calibri"/>
      <family val="2"/>
      <scheme val="minor"/>
    </font>
    <font>
      <sz val="11"/>
      <color theme="0"/>
      <name val="Calibri"/>
      <family val="2"/>
      <scheme val="minor"/>
    </font>
    <font>
      <sz val="11"/>
      <color rgb="FF000000"/>
      <name val="Calibri"/>
      <family val="2"/>
    </font>
    <font>
      <b/>
      <sz val="11"/>
      <color theme="1"/>
      <name val="Calibri"/>
      <family val="2"/>
      <scheme val="minor"/>
    </font>
    <font>
      <sz val="11"/>
      <color theme="1"/>
      <name val="Arial"/>
      <family val="2"/>
    </font>
    <font>
      <b/>
      <sz val="12"/>
      <color theme="1"/>
      <name val="Arial"/>
      <family val="2"/>
    </font>
    <font>
      <sz val="12"/>
      <color theme="1"/>
      <name val="Arial"/>
      <family val="2"/>
    </font>
    <font>
      <b/>
      <sz val="12"/>
      <color rgb="FF000000"/>
      <name val="Arial"/>
      <family val="2"/>
    </font>
    <font>
      <b/>
      <sz val="22"/>
      <color theme="4"/>
      <name val="Arial"/>
      <family val="2"/>
    </font>
    <font>
      <sz val="12"/>
      <color rgb="FF000000"/>
      <name val="Arial"/>
      <family val="2"/>
    </font>
    <font>
      <sz val="10"/>
      <color theme="1"/>
      <name val="Arial"/>
      <family val="2"/>
    </font>
    <font>
      <b/>
      <sz val="12"/>
      <color rgb="FF002060"/>
      <name val="Arial"/>
      <family val="2"/>
    </font>
    <font>
      <sz val="10"/>
      <color theme="1"/>
      <name val="Calibri"/>
      <family val="2"/>
      <scheme val="minor"/>
    </font>
    <font>
      <b/>
      <sz val="9"/>
      <color theme="1"/>
      <name val="Calibri"/>
      <family val="2"/>
      <scheme val="minor"/>
    </font>
    <font>
      <sz val="9"/>
      <color theme="1"/>
      <name val="Calibri"/>
      <family val="2"/>
      <scheme val="minor"/>
    </font>
    <font>
      <b/>
      <sz val="12"/>
      <color theme="0"/>
      <name val="Arial"/>
      <family val="2"/>
    </font>
    <font>
      <b/>
      <sz val="10"/>
      <color theme="0"/>
      <name val="Arial"/>
      <family val="2"/>
    </font>
    <font>
      <sz val="9"/>
      <color theme="1"/>
      <name val="Helvetica"/>
      <family val="2"/>
    </font>
    <font>
      <sz val="8"/>
      <color theme="1"/>
      <name val="Calibri"/>
      <family val="2"/>
      <scheme val="minor"/>
    </font>
    <font>
      <sz val="8"/>
      <color theme="1"/>
      <name val="Arial"/>
      <family val="2"/>
    </font>
    <font>
      <b/>
      <sz val="8"/>
      <color theme="1"/>
      <name val="Arial"/>
      <family val="2"/>
    </font>
    <font>
      <b/>
      <u/>
      <sz val="8"/>
      <color theme="0"/>
      <name val="Calibri"/>
      <family val="2"/>
    </font>
    <font>
      <b/>
      <sz val="10"/>
      <color theme="1"/>
      <name val="Calibri"/>
      <family val="2"/>
      <scheme val="minor"/>
    </font>
    <font>
      <b/>
      <sz val="16"/>
      <color rgb="FF002060"/>
      <name val="Arial"/>
      <family val="2"/>
    </font>
    <font>
      <b/>
      <sz val="11"/>
      <color theme="1"/>
      <name val="Arial"/>
      <family val="2"/>
    </font>
    <font>
      <b/>
      <sz val="10"/>
      <color theme="1"/>
      <name val="Arial"/>
      <family val="2"/>
    </font>
    <font>
      <b/>
      <sz val="9"/>
      <color theme="1"/>
      <name val="Arial"/>
      <family val="2"/>
    </font>
    <font>
      <b/>
      <u/>
      <sz val="12"/>
      <color theme="1"/>
      <name val="Arial"/>
      <family val="2"/>
    </font>
    <font>
      <sz val="10"/>
      <color rgb="FF000000"/>
      <name val="Calibri"/>
      <family val="2"/>
    </font>
    <font>
      <b/>
      <sz val="9"/>
      <color rgb="FF000000"/>
      <name val="Tahoma"/>
      <family val="2"/>
    </font>
    <font>
      <b/>
      <sz val="9"/>
      <color rgb="FF000000"/>
      <name val="Calibri"/>
      <family val="2"/>
    </font>
    <font>
      <sz val="9"/>
      <color rgb="FF000000"/>
      <name val="Calibri"/>
      <family val="2"/>
    </font>
    <font>
      <b/>
      <sz val="10"/>
      <color rgb="FF000000"/>
      <name val="Calibri"/>
      <family val="2"/>
    </font>
    <font>
      <sz val="10"/>
      <color rgb="FF000000"/>
      <name val="Tahoma"/>
      <family val="2"/>
    </font>
    <font>
      <b/>
      <sz val="10"/>
      <color rgb="FF000000"/>
      <name val="Tahoma"/>
      <family val="2"/>
    </font>
    <font>
      <sz val="12"/>
      <color rgb="FFFF0000"/>
      <name val="Arial"/>
      <family val="2"/>
    </font>
    <font>
      <sz val="9"/>
      <color theme="1"/>
      <name val="Arial"/>
      <family val="2"/>
    </font>
    <font>
      <b/>
      <u/>
      <sz val="12"/>
      <color theme="5" tint="-0.499984740745262"/>
      <name val="Arial"/>
      <family val="2"/>
    </font>
    <font>
      <b/>
      <sz val="9"/>
      <color theme="1"/>
      <name val="Broadway"/>
      <family val="5"/>
    </font>
    <font>
      <b/>
      <sz val="56"/>
      <color theme="0"/>
      <name val="Arial"/>
      <family val="2"/>
    </font>
    <font>
      <b/>
      <sz val="14"/>
      <color theme="1"/>
      <name val="Broadway"/>
      <family val="5"/>
    </font>
    <font>
      <b/>
      <sz val="12"/>
      <color theme="4" tint="-0.499984740745262"/>
      <name val="Arial"/>
      <family val="2"/>
    </font>
    <font>
      <b/>
      <u/>
      <sz val="12"/>
      <color theme="4" tint="-0.499984740745262"/>
      <name val="Arial"/>
      <family val="2"/>
    </font>
    <font>
      <b/>
      <sz val="9"/>
      <color rgb="FFFF0000"/>
      <name val="Arial"/>
      <family val="2"/>
    </font>
    <font>
      <b/>
      <i/>
      <sz val="12"/>
      <color theme="4" tint="-0.499984740745262"/>
      <name val="Arial"/>
      <family val="2"/>
    </font>
    <font>
      <sz val="8"/>
      <name val="Trebuchet MS"/>
      <family val="2"/>
    </font>
    <font>
      <sz val="8"/>
      <color rgb="FF333333"/>
      <name val="Trebuchet MS"/>
      <family val="2"/>
    </font>
    <font>
      <b/>
      <sz val="16"/>
      <color theme="0"/>
      <name val="Arial"/>
      <family val="2"/>
    </font>
    <font>
      <sz val="14"/>
      <color indexed="8"/>
      <name val="Arial"/>
      <family val="2"/>
    </font>
    <font>
      <b/>
      <sz val="8"/>
      <color indexed="8"/>
      <name val="Arial"/>
      <family val="2"/>
    </font>
    <font>
      <b/>
      <sz val="11"/>
      <name val="Arial"/>
      <family val="2"/>
    </font>
    <font>
      <sz val="11"/>
      <name val="Arial"/>
      <family val="2"/>
    </font>
    <font>
      <b/>
      <sz val="12"/>
      <color indexed="8"/>
      <name val="Arial"/>
      <family val="2"/>
    </font>
    <font>
      <sz val="10"/>
      <color indexed="10"/>
      <name val="Arial"/>
      <family val="2"/>
    </font>
    <font>
      <b/>
      <sz val="11"/>
      <color theme="0"/>
      <name val="Calibri"/>
      <family val="2"/>
      <scheme val="minor"/>
    </font>
    <font>
      <i/>
      <sz val="8"/>
      <color theme="0"/>
      <name val="Helvetica"/>
      <family val="2"/>
    </font>
    <font>
      <sz val="12"/>
      <color rgb="FFC00000"/>
      <name val="Arial"/>
      <family val="2"/>
    </font>
    <font>
      <sz val="11"/>
      <color theme="0"/>
      <name val="Arial"/>
      <family val="2"/>
    </font>
    <font>
      <sz val="8"/>
      <name val="Calibri"/>
      <family val="2"/>
      <scheme val="minor"/>
    </font>
    <font>
      <b/>
      <sz val="8"/>
      <color rgb="FFC00000"/>
      <name val="Arial"/>
      <family val="2"/>
    </font>
    <font>
      <b/>
      <sz val="11"/>
      <color rgb="FFC00000"/>
      <name val="Calibri"/>
      <family val="2"/>
      <scheme val="minor"/>
    </font>
    <font>
      <b/>
      <sz val="11"/>
      <color theme="0"/>
      <name val="Arial"/>
      <family val="2"/>
    </font>
  </fonts>
  <fills count="39">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6" tint="-0.249977111117893"/>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2"/>
        <bgColor indexed="64"/>
      </patternFill>
    </fill>
    <fill>
      <patternFill patternType="solid">
        <fgColor theme="6"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rgb="FF336699"/>
        <bgColor indexed="64"/>
      </patternFill>
    </fill>
    <fill>
      <patternFill patternType="solid">
        <fgColor rgb="FFF5FCEA"/>
        <bgColor indexed="64"/>
      </patternFill>
    </fill>
    <fill>
      <patternFill patternType="solid">
        <fgColor theme="4"/>
        <bgColor indexed="64"/>
      </patternFill>
    </fill>
    <fill>
      <patternFill patternType="solid">
        <fgColor theme="5"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3"/>
        <bgColor indexed="64"/>
      </patternFill>
    </fill>
    <fill>
      <patternFill patternType="solid">
        <fgColor theme="3" tint="9.9978637043366805E-2"/>
        <bgColor indexed="64"/>
      </patternFill>
    </fill>
    <fill>
      <patternFill patternType="solid">
        <fgColor rgb="FFD0E0E3"/>
        <bgColor indexed="64"/>
      </patternFill>
    </fill>
    <fill>
      <patternFill patternType="solid">
        <fgColor theme="5" tint="-0.499984740745262"/>
        <bgColor indexed="64"/>
      </patternFill>
    </fill>
    <fill>
      <patternFill patternType="solid">
        <fgColor rgb="FF00B0F0"/>
        <bgColor indexed="64"/>
      </patternFill>
    </fill>
    <fill>
      <patternFill patternType="solid">
        <fgColor theme="5" tint="0.399975585192419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rgb="FFFF0000"/>
      </right>
      <top style="medium">
        <color rgb="FFFF0000"/>
      </top>
      <bottom style="thin">
        <color indexed="64"/>
      </bottom>
      <diagonal/>
    </border>
    <border>
      <left style="thin">
        <color indexed="64"/>
      </left>
      <right style="medium">
        <color rgb="FF92D050"/>
      </right>
      <top style="medium">
        <color rgb="FF92D050"/>
      </top>
      <bottom style="thin">
        <color indexed="64"/>
      </bottom>
      <diagonal/>
    </border>
    <border>
      <left style="thin">
        <color indexed="64"/>
      </left>
      <right style="medium">
        <color rgb="FF92D050"/>
      </right>
      <top style="thin">
        <color indexed="64"/>
      </top>
      <bottom style="thin">
        <color indexed="64"/>
      </bottom>
      <diagonal/>
    </border>
    <border>
      <left style="thin">
        <color indexed="64"/>
      </left>
      <right style="thick">
        <color theme="7" tint="-0.24994659260841701"/>
      </right>
      <top style="thick">
        <color theme="7" tint="-0.24994659260841701"/>
      </top>
      <bottom style="thin">
        <color indexed="64"/>
      </bottom>
      <diagonal/>
    </border>
    <border>
      <left style="thin">
        <color indexed="64"/>
      </left>
      <right style="thick">
        <color theme="7" tint="-0.24994659260841701"/>
      </right>
      <top style="thin">
        <color indexed="64"/>
      </top>
      <bottom style="thin">
        <color indexed="64"/>
      </bottom>
      <diagonal/>
    </border>
    <border>
      <left style="thin">
        <color indexed="64"/>
      </left>
      <right style="thick">
        <color theme="7" tint="-0.24994659260841701"/>
      </right>
      <top style="thin">
        <color indexed="64"/>
      </top>
      <bottom style="thick">
        <color theme="7" tint="-0.24994659260841701"/>
      </bottom>
      <diagonal/>
    </border>
    <border>
      <left style="thin">
        <color indexed="64"/>
      </left>
      <right style="thick">
        <color rgb="FF6666FF"/>
      </right>
      <top style="thick">
        <color rgb="FF6666FF"/>
      </top>
      <bottom style="thin">
        <color indexed="64"/>
      </bottom>
      <diagonal/>
    </border>
    <border>
      <left style="thin">
        <color indexed="64"/>
      </left>
      <right style="thick">
        <color rgb="FF6666FF"/>
      </right>
      <top style="thin">
        <color indexed="64"/>
      </top>
      <bottom style="thin">
        <color indexed="64"/>
      </bottom>
      <diagonal/>
    </border>
    <border>
      <left style="thin">
        <color indexed="64"/>
      </left>
      <right style="thick">
        <color rgb="FF6666FF"/>
      </right>
      <top style="thin">
        <color indexed="64"/>
      </top>
      <bottom style="thick">
        <color rgb="FF6666FF"/>
      </bottom>
      <diagonal/>
    </border>
    <border>
      <left style="thin">
        <color indexed="64"/>
      </left>
      <right style="medium">
        <color rgb="FFFF0000"/>
      </right>
      <top style="thin">
        <color indexed="64"/>
      </top>
      <bottom style="medium">
        <color rgb="FFFF0000"/>
      </bottom>
      <diagonal/>
    </border>
    <border>
      <left style="thin">
        <color indexed="64"/>
      </left>
      <right style="medium">
        <color rgb="FF92D050"/>
      </right>
      <top style="thin">
        <color indexed="64"/>
      </top>
      <bottom style="medium">
        <color rgb="FF92D050"/>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right/>
      <top style="thin">
        <color indexed="64"/>
      </top>
      <bottom style="medium">
        <color rgb="FF92D050"/>
      </bottom>
      <diagonal/>
    </border>
    <border>
      <left/>
      <right style="thin">
        <color indexed="64"/>
      </right>
      <top style="thin">
        <color indexed="64"/>
      </top>
      <bottom style="medium">
        <color rgb="FF92D050"/>
      </bottom>
      <diagonal/>
    </border>
    <border>
      <left/>
      <right/>
      <top style="medium">
        <color rgb="FF92D050"/>
      </top>
      <bottom style="thin">
        <color indexed="64"/>
      </bottom>
      <diagonal/>
    </border>
    <border>
      <left/>
      <right style="thin">
        <color indexed="64"/>
      </right>
      <top style="medium">
        <color rgb="FF92D050"/>
      </top>
      <bottom style="thin">
        <color indexed="64"/>
      </bottom>
      <diagonal/>
    </border>
    <border>
      <left style="thick">
        <color theme="7" tint="-0.24994659260841701"/>
      </left>
      <right/>
      <top style="thick">
        <color theme="7" tint="-0.24994659260841701"/>
      </top>
      <bottom style="thin">
        <color indexed="64"/>
      </bottom>
      <diagonal/>
    </border>
    <border>
      <left/>
      <right/>
      <top style="thick">
        <color theme="7" tint="-0.24994659260841701"/>
      </top>
      <bottom style="thin">
        <color indexed="64"/>
      </bottom>
      <diagonal/>
    </border>
    <border>
      <left/>
      <right style="thin">
        <color indexed="64"/>
      </right>
      <top style="thick">
        <color theme="7" tint="-0.24994659260841701"/>
      </top>
      <bottom style="thin">
        <color indexed="64"/>
      </bottom>
      <diagonal/>
    </border>
    <border>
      <left style="thick">
        <color theme="7" tint="-0.24994659260841701"/>
      </left>
      <right/>
      <top style="thin">
        <color indexed="64"/>
      </top>
      <bottom style="thin">
        <color indexed="64"/>
      </bottom>
      <diagonal/>
    </border>
    <border>
      <left style="thick">
        <color theme="7" tint="-0.24994659260841701"/>
      </left>
      <right/>
      <top style="thin">
        <color indexed="64"/>
      </top>
      <bottom style="thick">
        <color theme="7" tint="-0.24994659260841701"/>
      </bottom>
      <diagonal/>
    </border>
    <border>
      <left/>
      <right/>
      <top style="thin">
        <color indexed="64"/>
      </top>
      <bottom style="thick">
        <color theme="7" tint="-0.24994659260841701"/>
      </bottom>
      <diagonal/>
    </border>
    <border>
      <left/>
      <right style="thin">
        <color indexed="64"/>
      </right>
      <top style="thin">
        <color indexed="64"/>
      </top>
      <bottom style="thick">
        <color theme="7" tint="-0.24994659260841701"/>
      </bottom>
      <diagonal/>
    </border>
    <border>
      <left style="thick">
        <color rgb="FF6666FF"/>
      </left>
      <right/>
      <top style="thick">
        <color rgb="FF6666FF"/>
      </top>
      <bottom style="thin">
        <color indexed="64"/>
      </bottom>
      <diagonal/>
    </border>
    <border>
      <left/>
      <right/>
      <top style="thick">
        <color rgb="FF6666FF"/>
      </top>
      <bottom style="thin">
        <color indexed="64"/>
      </bottom>
      <diagonal/>
    </border>
    <border>
      <left/>
      <right style="thin">
        <color indexed="64"/>
      </right>
      <top style="thick">
        <color rgb="FF6666FF"/>
      </top>
      <bottom style="thin">
        <color indexed="64"/>
      </bottom>
      <diagonal/>
    </border>
    <border>
      <left style="thick">
        <color rgb="FF6666FF"/>
      </left>
      <right/>
      <top style="thin">
        <color indexed="64"/>
      </top>
      <bottom style="thin">
        <color indexed="64"/>
      </bottom>
      <diagonal/>
    </border>
    <border>
      <left style="thick">
        <color rgb="FF6666FF"/>
      </left>
      <right/>
      <top style="thin">
        <color indexed="64"/>
      </top>
      <bottom style="thick">
        <color rgb="FF6666FF"/>
      </bottom>
      <diagonal/>
    </border>
    <border>
      <left/>
      <right/>
      <top style="thin">
        <color indexed="64"/>
      </top>
      <bottom style="thick">
        <color rgb="FF6666FF"/>
      </bottom>
      <diagonal/>
    </border>
    <border>
      <left/>
      <right style="thin">
        <color indexed="64"/>
      </right>
      <top style="thin">
        <color indexed="64"/>
      </top>
      <bottom style="thick">
        <color rgb="FF6666FF"/>
      </bottom>
      <diagonal/>
    </border>
    <border>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s>
  <cellStyleXfs count="44">
    <xf numFmtId="0" fontId="0" fillId="0" borderId="0"/>
    <xf numFmtId="169" fontId="5" fillId="0" borderId="0" applyFont="0" applyFill="0" applyBorder="0" applyAlignment="0" applyProtection="0"/>
    <xf numFmtId="167" fontId="5" fillId="0" borderId="0" applyFont="0" applyFill="0" applyBorder="0" applyAlignment="0" applyProtection="0"/>
    <xf numFmtId="168" fontId="5" fillId="0" borderId="0" applyFont="0" applyFill="0" applyBorder="0" applyAlignment="0" applyProtection="0"/>
    <xf numFmtId="166" fontId="5" fillId="0" borderId="0" applyFont="0" applyFill="0" applyBorder="0" applyAlignment="0" applyProtection="0"/>
    <xf numFmtId="176" fontId="7" fillId="0" borderId="0" applyFont="0" applyFill="0" applyBorder="0" applyAlignment="0" applyProtection="0"/>
    <xf numFmtId="176" fontId="4" fillId="0" borderId="0" applyFont="0" applyFill="0" applyBorder="0" applyAlignment="0" applyProtection="0"/>
    <xf numFmtId="0" fontId="6"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171" fontId="4" fillId="0" borderId="0" applyFont="0" applyFill="0" applyBorder="0" applyAlignment="0" applyProtection="0"/>
    <xf numFmtId="171" fontId="4" fillId="0" borderId="0" applyFont="0" applyFill="0" applyBorder="0" applyAlignment="0" applyProtection="0"/>
    <xf numFmtId="169" fontId="2" fillId="0" borderId="0" applyFont="0" applyFill="0" applyBorder="0" applyAlignment="0" applyProtection="0"/>
    <xf numFmtId="165" fontId="12" fillId="0" borderId="0" applyFont="0" applyFill="0" applyBorder="0" applyAlignment="0" applyProtection="0"/>
    <xf numFmtId="173" fontId="2" fillId="0" borderId="0" applyFont="0" applyFill="0" applyBorder="0" applyAlignment="0" applyProtection="0"/>
    <xf numFmtId="165" fontId="15"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179" fontId="29" fillId="0" borderId="0" applyFont="0" applyFill="0" applyBorder="0" applyAlignment="0" applyProtection="0"/>
    <xf numFmtId="168" fontId="2" fillId="0" borderId="0" applyFont="0" applyFill="0" applyBorder="0" applyAlignment="0" applyProtection="0"/>
    <xf numFmtId="172" fontId="2" fillId="0" borderId="0" applyFont="0" applyFill="0" applyBorder="0" applyAlignment="0" applyProtection="0"/>
    <xf numFmtId="0" fontId="4" fillId="0" borderId="0"/>
    <xf numFmtId="0" fontId="15" fillId="0" borderId="0"/>
    <xf numFmtId="0" fontId="4" fillId="0" borderId="0"/>
    <xf numFmtId="0" fontId="27" fillId="0" borderId="0"/>
    <xf numFmtId="0" fontId="10" fillId="0" borderId="0"/>
    <xf numFmtId="0" fontId="4" fillId="0" borderId="0"/>
    <xf numFmtId="0" fontId="14" fillId="0" borderId="0" applyNumberFormat="0" applyFill="0" applyBorder="0" applyProtection="0">
      <alignment horizontal="left" vertical="top"/>
    </xf>
    <xf numFmtId="0" fontId="4" fillId="0" borderId="0"/>
    <xf numFmtId="0" fontId="14" fillId="0" borderId="0" applyNumberFormat="0" applyFill="0" applyBorder="0" applyProtection="0">
      <alignment horizontal="left" vertical="top"/>
    </xf>
    <xf numFmtId="0" fontId="27" fillId="0" borderId="0"/>
    <xf numFmtId="9" fontId="5"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0" fontId="27" fillId="0" borderId="0"/>
    <xf numFmtId="42" fontId="27" fillId="0" borderId="0" applyFont="0" applyFill="0" applyBorder="0" applyAlignment="0" applyProtection="0"/>
    <xf numFmtId="42" fontId="4" fillId="0" borderId="0" applyFont="0" applyFill="0" applyBorder="0" applyAlignment="0" applyProtection="0"/>
    <xf numFmtId="164" fontId="27" fillId="0" borderId="0" applyFont="0" applyFill="0" applyBorder="0" applyAlignment="0" applyProtection="0"/>
    <xf numFmtId="167" fontId="2" fillId="0" borderId="0" applyFont="0" applyFill="0" applyBorder="0" applyAlignment="0" applyProtection="0"/>
  </cellStyleXfs>
  <cellXfs count="947">
    <xf numFmtId="0" fontId="0" fillId="0" borderId="0" xfId="0"/>
    <xf numFmtId="0" fontId="16" fillId="0" borderId="1" xfId="0" applyFont="1" applyBorder="1" applyAlignment="1">
      <alignment vertical="center" wrapText="1"/>
    </xf>
    <xf numFmtId="0" fontId="9" fillId="0" borderId="0" xfId="0" applyFont="1" applyAlignment="1">
      <alignment horizontal="right" vertical="center" wrapText="1"/>
    </xf>
    <xf numFmtId="3" fontId="33" fillId="0" borderId="1" xfId="0" applyNumberFormat="1" applyFont="1" applyBorder="1"/>
    <xf numFmtId="3" fontId="4" fillId="0" borderId="0" xfId="0" applyNumberFormat="1" applyFont="1" applyAlignment="1">
      <alignment horizontal="justify" vertical="center" wrapText="1"/>
    </xf>
    <xf numFmtId="3" fontId="33" fillId="0" borderId="0" xfId="0" applyNumberFormat="1" applyFont="1"/>
    <xf numFmtId="3" fontId="32" fillId="0" borderId="0" xfId="0" applyNumberFormat="1" applyFont="1"/>
    <xf numFmtId="0" fontId="9" fillId="0" borderId="1" xfId="0" applyFont="1" applyBorder="1" applyAlignment="1">
      <alignment vertical="center" wrapText="1"/>
    </xf>
    <xf numFmtId="3" fontId="34" fillId="0" borderId="1" xfId="0" applyNumberFormat="1" applyFont="1" applyBorder="1" applyAlignment="1">
      <alignment horizontal="right" wrapText="1" readingOrder="1"/>
    </xf>
    <xf numFmtId="0" fontId="9" fillId="0" borderId="0" xfId="0" applyFont="1"/>
    <xf numFmtId="0" fontId="20" fillId="0" borderId="0" xfId="0" applyFont="1"/>
    <xf numFmtId="0" fontId="35" fillId="0" borderId="0" xfId="0" applyFont="1"/>
    <xf numFmtId="0" fontId="4" fillId="0" borderId="0" xfId="0" applyFont="1"/>
    <xf numFmtId="3" fontId="36" fillId="0" borderId="1" xfId="0" applyNumberFormat="1" applyFont="1" applyBorder="1" applyAlignment="1">
      <alignment horizontal="right" wrapText="1" readingOrder="1"/>
    </xf>
    <xf numFmtId="0" fontId="34" fillId="0" borderId="1" xfId="0" applyFont="1" applyBorder="1" applyAlignment="1">
      <alignment horizontal="left" wrapText="1" readingOrder="1"/>
    </xf>
    <xf numFmtId="0" fontId="34" fillId="0" borderId="2" xfId="0" applyFont="1" applyBorder="1" applyAlignment="1">
      <alignment horizontal="center" wrapText="1" readingOrder="1"/>
    </xf>
    <xf numFmtId="0" fontId="33" fillId="0" borderId="0" xfId="0" applyFont="1"/>
    <xf numFmtId="3" fontId="4" fillId="0" borderId="0" xfId="0" applyNumberFormat="1" applyFont="1"/>
    <xf numFmtId="178" fontId="4" fillId="0" borderId="0" xfId="0" applyNumberFormat="1" applyFont="1"/>
    <xf numFmtId="0" fontId="36" fillId="0" borderId="2" xfId="0" applyFont="1" applyBorder="1" applyAlignment="1">
      <alignment horizontal="center" wrapText="1" readingOrder="1"/>
    </xf>
    <xf numFmtId="0" fontId="16" fillId="0" borderId="1" xfId="0" applyFont="1" applyBorder="1" applyAlignment="1">
      <alignment vertical="center"/>
    </xf>
    <xf numFmtId="178" fontId="16" fillId="0" borderId="1" xfId="4" applyNumberFormat="1" applyFont="1" applyFill="1" applyBorder="1" applyAlignment="1">
      <alignment horizontal="right" vertical="center" wrapText="1"/>
    </xf>
    <xf numFmtId="3" fontId="37" fillId="0" borderId="0" xfId="0" applyNumberFormat="1" applyFont="1"/>
    <xf numFmtId="0" fontId="32" fillId="0" borderId="0" xfId="0" applyFont="1" applyAlignment="1">
      <alignment horizontal="center" vertical="center" wrapText="1"/>
    </xf>
    <xf numFmtId="0" fontId="33" fillId="0" borderId="1" xfId="0" applyFont="1" applyBorder="1"/>
    <xf numFmtId="3" fontId="17" fillId="0" borderId="1" xfId="0" applyNumberFormat="1" applyFont="1" applyBorder="1" applyAlignment="1">
      <alignment horizontal="justify" vertical="top" wrapText="1"/>
    </xf>
    <xf numFmtId="3" fontId="3" fillId="0" borderId="0" xfId="0" applyNumberFormat="1" applyFont="1" applyAlignment="1">
      <alignment horizontal="left" vertical="center" wrapText="1"/>
    </xf>
    <xf numFmtId="0" fontId="9" fillId="0" borderId="0" xfId="0" applyFont="1" applyProtection="1">
      <protection locked="0"/>
    </xf>
    <xf numFmtId="3" fontId="9" fillId="0" borderId="0" xfId="18" applyNumberFormat="1" applyFont="1" applyFill="1" applyProtection="1">
      <protection locked="0"/>
    </xf>
    <xf numFmtId="3" fontId="16" fillId="0" borderId="30" xfId="3" applyNumberFormat="1" applyFont="1" applyFill="1" applyBorder="1" applyAlignment="1" applyProtection="1">
      <alignment horizontal="right" vertical="center" wrapText="1"/>
    </xf>
    <xf numFmtId="3" fontId="16" fillId="0" borderId="31" xfId="3" applyNumberFormat="1" applyFont="1" applyFill="1" applyBorder="1" applyAlignment="1" applyProtection="1">
      <alignment horizontal="right" vertical="center" wrapText="1"/>
    </xf>
    <xf numFmtId="3" fontId="16" fillId="0" borderId="32" xfId="3" applyNumberFormat="1" applyFont="1" applyFill="1" applyBorder="1" applyAlignment="1" applyProtection="1">
      <alignment horizontal="right" vertical="center" wrapText="1"/>
    </xf>
    <xf numFmtId="3" fontId="16" fillId="0" borderId="34" xfId="3" applyNumberFormat="1" applyFont="1" applyFill="1" applyBorder="1" applyAlignment="1" applyProtection="1">
      <alignment horizontal="right" vertical="center" wrapText="1"/>
    </xf>
    <xf numFmtId="3" fontId="16" fillId="0" borderId="37" xfId="3" applyNumberFormat="1" applyFont="1" applyFill="1" applyBorder="1" applyAlignment="1" applyProtection="1">
      <alignment horizontal="right" vertical="center" wrapText="1"/>
    </xf>
    <xf numFmtId="3" fontId="18" fillId="0" borderId="38" xfId="11" applyNumberFormat="1" applyFont="1" applyFill="1" applyBorder="1" applyAlignment="1" applyProtection="1">
      <alignment horizontal="right" vertical="center" wrapText="1"/>
    </xf>
    <xf numFmtId="0" fontId="16" fillId="8"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3" fontId="33" fillId="0" borderId="1" xfId="0" applyNumberFormat="1" applyFont="1" applyBorder="1" applyProtection="1">
      <protection locked="0"/>
    </xf>
    <xf numFmtId="3" fontId="31" fillId="0" borderId="0" xfId="0" applyNumberFormat="1" applyFont="1" applyProtection="1">
      <protection locked="0"/>
    </xf>
    <xf numFmtId="0" fontId="9" fillId="0" borderId="2" xfId="0" applyFont="1" applyBorder="1" applyAlignment="1" applyProtection="1">
      <alignment horizontal="left" vertical="center" wrapText="1"/>
      <protection locked="0"/>
    </xf>
    <xf numFmtId="0" fontId="16" fillId="5" borderId="3" xfId="0" applyFont="1" applyFill="1" applyBorder="1" applyAlignment="1">
      <alignment horizontal="center" vertical="center" wrapText="1"/>
    </xf>
    <xf numFmtId="0" fontId="9" fillId="0" borderId="3"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16" fillId="7" borderId="1" xfId="0" applyFont="1" applyFill="1" applyBorder="1"/>
    <xf numFmtId="0" fontId="16" fillId="0" borderId="1" xfId="0" applyFont="1" applyBorder="1" applyProtection="1">
      <protection locked="0"/>
    </xf>
    <xf numFmtId="0" fontId="32" fillId="7" borderId="1" xfId="0" applyFont="1" applyFill="1" applyBorder="1"/>
    <xf numFmtId="3" fontId="0" fillId="0" borderId="0" xfId="0" applyNumberFormat="1"/>
    <xf numFmtId="0" fontId="0" fillId="0" borderId="1" xfId="0" applyBorder="1"/>
    <xf numFmtId="3" fontId="0" fillId="0" borderId="1" xfId="0" applyNumberFormat="1" applyBorder="1"/>
    <xf numFmtId="3" fontId="33" fillId="0" borderId="0" xfId="0" applyNumberFormat="1" applyFont="1" applyAlignment="1" applyProtection="1">
      <alignment vertical="center" wrapText="1"/>
      <protection locked="0"/>
    </xf>
    <xf numFmtId="9" fontId="0" fillId="0" borderId="1" xfId="0" applyNumberFormat="1" applyBorder="1"/>
    <xf numFmtId="0" fontId="44" fillId="0" borderId="1" xfId="0" applyFont="1" applyBorder="1"/>
    <xf numFmtId="3" fontId="33" fillId="0" borderId="18" xfId="0" applyNumberFormat="1" applyFont="1" applyBorder="1"/>
    <xf numFmtId="3" fontId="33" fillId="0" borderId="19" xfId="0" applyNumberFormat="1" applyFont="1" applyBorder="1"/>
    <xf numFmtId="3" fontId="33" fillId="0" borderId="20" xfId="0" applyNumberFormat="1" applyFont="1" applyBorder="1"/>
    <xf numFmtId="167" fontId="27" fillId="0" borderId="0" xfId="2" applyFont="1"/>
    <xf numFmtId="178" fontId="18" fillId="0" borderId="0" xfId="11" applyNumberFormat="1" applyFont="1" applyFill="1" applyBorder="1" applyAlignment="1" applyProtection="1">
      <alignment horizontal="right" vertical="top"/>
      <protection locked="0"/>
    </xf>
    <xf numFmtId="0" fontId="28" fillId="13" borderId="11" xfId="0" applyFont="1" applyFill="1" applyBorder="1"/>
    <xf numFmtId="0" fontId="28" fillId="13" borderId="1" xfId="0" applyFont="1" applyFill="1" applyBorder="1"/>
    <xf numFmtId="167" fontId="27" fillId="0" borderId="1" xfId="2" applyFont="1" applyBorder="1"/>
    <xf numFmtId="9" fontId="27" fillId="0" borderId="1" xfId="34" applyFont="1" applyBorder="1" applyAlignment="1">
      <alignment horizontal="center"/>
    </xf>
    <xf numFmtId="3" fontId="39" fillId="11" borderId="14" xfId="0" applyNumberFormat="1" applyFont="1" applyFill="1" applyBorder="1"/>
    <xf numFmtId="3" fontId="4" fillId="0" borderId="1" xfId="0" applyNumberFormat="1" applyFont="1" applyBorder="1" applyAlignment="1">
      <alignment horizontal="justify" vertical="center" wrapText="1"/>
    </xf>
    <xf numFmtId="167" fontId="0" fillId="0" borderId="0" xfId="0" applyNumberFormat="1"/>
    <xf numFmtId="0" fontId="42" fillId="13" borderId="1" xfId="0" applyFont="1" applyFill="1" applyBorder="1" applyAlignment="1">
      <alignment horizontal="center" vertical="center" wrapText="1"/>
    </xf>
    <xf numFmtId="3" fontId="33" fillId="3" borderId="1" xfId="0" applyNumberFormat="1" applyFont="1" applyFill="1" applyBorder="1" applyAlignment="1">
      <alignment horizontal="right"/>
    </xf>
    <xf numFmtId="3" fontId="33" fillId="3" borderId="1" xfId="0" applyNumberFormat="1" applyFont="1" applyFill="1" applyBorder="1"/>
    <xf numFmtId="3" fontId="32" fillId="5" borderId="1" xfId="0" applyNumberFormat="1" applyFont="1" applyFill="1" applyBorder="1"/>
    <xf numFmtId="3" fontId="32" fillId="3" borderId="1" xfId="0" applyNumberFormat="1" applyFont="1" applyFill="1" applyBorder="1"/>
    <xf numFmtId="0" fontId="33" fillId="0" borderId="0" xfId="0" applyFont="1" applyProtection="1">
      <protection locked="0"/>
    </xf>
    <xf numFmtId="0" fontId="32" fillId="0" borderId="0" xfId="0" applyFont="1" applyProtection="1">
      <protection locked="0"/>
    </xf>
    <xf numFmtId="0" fontId="33" fillId="0" borderId="0" xfId="0" applyFont="1" applyAlignment="1" applyProtection="1">
      <alignment horizontal="justify" vertical="center" wrapText="1"/>
      <protection locked="0"/>
    </xf>
    <xf numFmtId="3" fontId="33" fillId="0" borderId="0" xfId="0" applyNumberFormat="1" applyFont="1" applyProtection="1">
      <protection locked="0"/>
    </xf>
    <xf numFmtId="0" fontId="32" fillId="0" borderId="0" xfId="0" applyFont="1" applyAlignment="1" applyProtection="1">
      <alignment horizontal="justify" vertical="center" wrapText="1"/>
      <protection locked="0"/>
    </xf>
    <xf numFmtId="10" fontId="32" fillId="0" borderId="0" xfId="34" applyNumberFormat="1" applyFont="1" applyFill="1" applyBorder="1" applyAlignment="1" applyProtection="1">
      <alignment horizontal="center" vertical="center" wrapText="1"/>
      <protection locked="0"/>
    </xf>
    <xf numFmtId="3" fontId="32" fillId="0" borderId="0" xfId="0" applyNumberFormat="1" applyFont="1" applyProtection="1">
      <protection locked="0"/>
    </xf>
    <xf numFmtId="0" fontId="16" fillId="7" borderId="2" xfId="0" applyFont="1" applyFill="1" applyBorder="1" applyProtection="1">
      <protection locked="0"/>
    </xf>
    <xf numFmtId="167" fontId="33" fillId="0" borderId="0" xfId="2" applyFont="1" applyProtection="1">
      <protection locked="0"/>
    </xf>
    <xf numFmtId="0" fontId="32" fillId="7" borderId="5" xfId="0" applyFont="1" applyFill="1" applyBorder="1" applyProtection="1">
      <protection locked="0"/>
    </xf>
    <xf numFmtId="3" fontId="9" fillId="3" borderId="1" xfId="4" applyNumberFormat="1" applyFont="1" applyFill="1" applyBorder="1" applyAlignment="1" applyProtection="1"/>
    <xf numFmtId="3" fontId="16" fillId="3" borderId="1" xfId="4" applyNumberFormat="1" applyFont="1" applyFill="1" applyBorder="1" applyAlignment="1" applyProtection="1"/>
    <xf numFmtId="3" fontId="16" fillId="7" borderId="1" xfId="18" applyNumberFormat="1" applyFont="1" applyFill="1" applyBorder="1" applyAlignment="1" applyProtection="1"/>
    <xf numFmtId="3" fontId="16" fillId="7" borderId="1" xfId="4" applyNumberFormat="1" applyFont="1" applyFill="1" applyBorder="1" applyAlignment="1" applyProtection="1"/>
    <xf numFmtId="9" fontId="9" fillId="0" borderId="1" xfId="0" applyNumberFormat="1" applyFont="1" applyBorder="1" applyAlignment="1">
      <alignment horizontal="left"/>
    </xf>
    <xf numFmtId="9" fontId="16" fillId="0" borderId="1" xfId="0" applyNumberFormat="1" applyFont="1" applyBorder="1"/>
    <xf numFmtId="0" fontId="33" fillId="0" borderId="1" xfId="0" applyFont="1" applyBorder="1" applyAlignment="1">
      <alignment horizontal="left"/>
    </xf>
    <xf numFmtId="0" fontId="16" fillId="0" borderId="1" xfId="0" applyFont="1" applyBorder="1"/>
    <xf numFmtId="0" fontId="0" fillId="0" borderId="1" xfId="0" applyBorder="1" applyAlignment="1">
      <alignment horizontal="center"/>
    </xf>
    <xf numFmtId="3" fontId="30" fillId="0" borderId="1" xfId="0" applyNumberFormat="1" applyFont="1" applyBorder="1"/>
    <xf numFmtId="167" fontId="32" fillId="7" borderId="1" xfId="2" applyFont="1" applyFill="1" applyBorder="1" applyAlignment="1" applyProtection="1"/>
    <xf numFmtId="3" fontId="32" fillId="5" borderId="22" xfId="0" applyNumberFormat="1" applyFont="1" applyFill="1" applyBorder="1"/>
    <xf numFmtId="3" fontId="32" fillId="5" borderId="7" xfId="0" applyNumberFormat="1" applyFont="1" applyFill="1" applyBorder="1"/>
    <xf numFmtId="3" fontId="32" fillId="5" borderId="5" xfId="0" applyNumberFormat="1" applyFont="1" applyFill="1" applyBorder="1"/>
    <xf numFmtId="0" fontId="30" fillId="10" borderId="1" xfId="0" applyFont="1" applyFill="1" applyBorder="1" applyAlignment="1">
      <alignment horizontal="center"/>
    </xf>
    <xf numFmtId="0" fontId="0" fillId="10" borderId="1" xfId="0" applyFill="1" applyBorder="1"/>
    <xf numFmtId="0" fontId="0" fillId="10" borderId="1" xfId="0" applyFill="1" applyBorder="1" applyAlignment="1">
      <alignment horizontal="center"/>
    </xf>
    <xf numFmtId="3" fontId="0" fillId="10" borderId="1" xfId="0" applyNumberFormat="1" applyFill="1" applyBorder="1"/>
    <xf numFmtId="3" fontId="30" fillId="10" borderId="1" xfId="0" applyNumberFormat="1" applyFont="1" applyFill="1" applyBorder="1"/>
    <xf numFmtId="9" fontId="0" fillId="0" borderId="0" xfId="34" applyFont="1"/>
    <xf numFmtId="167" fontId="0" fillId="0" borderId="0" xfId="2" applyFont="1"/>
    <xf numFmtId="0" fontId="30" fillId="0" borderId="0" xfId="0" applyFont="1"/>
    <xf numFmtId="3" fontId="30" fillId="0" borderId="0" xfId="0" applyNumberFormat="1" applyFont="1"/>
    <xf numFmtId="3" fontId="3" fillId="0" borderId="1" xfId="0" applyNumberFormat="1" applyFont="1" applyBorder="1" applyAlignment="1">
      <alignment horizontal="right" vertical="center" wrapText="1"/>
    </xf>
    <xf numFmtId="178" fontId="18" fillId="0" borderId="0" xfId="11" applyNumberFormat="1" applyFont="1" applyFill="1" applyBorder="1" applyAlignment="1" applyProtection="1">
      <alignment horizontal="right" vertical="top"/>
    </xf>
    <xf numFmtId="167" fontId="27" fillId="0" borderId="1" xfId="2" applyFont="1" applyBorder="1" applyProtection="1"/>
    <xf numFmtId="9" fontId="27" fillId="0" borderId="1" xfId="34" applyFont="1" applyBorder="1" applyAlignment="1" applyProtection="1">
      <alignment horizontal="center"/>
    </xf>
    <xf numFmtId="178" fontId="54" fillId="0" borderId="39" xfId="11" applyNumberFormat="1" applyFont="1" applyFill="1" applyBorder="1" applyAlignment="1" applyProtection="1">
      <alignment horizontal="right" vertical="top"/>
    </xf>
    <xf numFmtId="178" fontId="18" fillId="0" borderId="40" xfId="11" applyNumberFormat="1" applyFont="1" applyFill="1" applyBorder="1" applyAlignment="1" applyProtection="1">
      <alignment horizontal="right" vertical="top"/>
    </xf>
    <xf numFmtId="3" fontId="3" fillId="0" borderId="0" xfId="0" applyNumberFormat="1" applyFont="1" applyAlignment="1">
      <alignment horizontal="justify" vertical="center" wrapText="1"/>
    </xf>
    <xf numFmtId="3" fontId="11" fillId="4" borderId="5" xfId="0" applyNumberFormat="1" applyFont="1" applyFill="1" applyBorder="1" applyAlignment="1">
      <alignment horizontal="center" vertical="center" wrapText="1"/>
    </xf>
    <xf numFmtId="3" fontId="3" fillId="4" borderId="1" xfId="1" applyNumberFormat="1" applyFont="1" applyFill="1" applyBorder="1" applyAlignment="1" applyProtection="1">
      <alignment horizontal="center" vertical="center" wrapText="1"/>
    </xf>
    <xf numFmtId="3" fontId="17" fillId="0" borderId="5" xfId="0" applyNumberFormat="1" applyFont="1" applyBorder="1" applyAlignment="1">
      <alignment horizontal="center" vertical="center" wrapText="1"/>
    </xf>
    <xf numFmtId="3" fontId="4" fillId="0" borderId="1" xfId="1" applyNumberFormat="1" applyFont="1" applyFill="1" applyBorder="1" applyAlignment="1" applyProtection="1">
      <alignment horizontal="center" vertical="center" wrapText="1"/>
    </xf>
    <xf numFmtId="9" fontId="4" fillId="0" borderId="1" xfId="34" applyFont="1" applyFill="1" applyBorder="1" applyAlignment="1" applyProtection="1">
      <alignment horizontal="center" vertical="center" wrapText="1"/>
    </xf>
    <xf numFmtId="170" fontId="4" fillId="0" borderId="1" xfId="0" applyNumberFormat="1" applyFont="1" applyBorder="1" applyAlignment="1">
      <alignment horizontal="center" vertical="center" wrapText="1"/>
    </xf>
    <xf numFmtId="175" fontId="4" fillId="0" borderId="1" xfId="18" applyNumberFormat="1" applyFont="1" applyBorder="1" applyAlignment="1" applyProtection="1">
      <alignment horizontal="center" vertical="center" wrapText="1"/>
    </xf>
    <xf numFmtId="175" fontId="4" fillId="0" borderId="1" xfId="0" applyNumberFormat="1" applyFont="1" applyBorder="1" applyAlignment="1">
      <alignment horizontal="center" vertical="center" wrapText="1"/>
    </xf>
    <xf numFmtId="3" fontId="16" fillId="0" borderId="33" xfId="3" applyNumberFormat="1" applyFont="1" applyFill="1" applyBorder="1" applyAlignment="1" applyProtection="1">
      <alignment horizontal="right" vertical="center" wrapText="1"/>
    </xf>
    <xf numFmtId="178" fontId="18" fillId="0" borderId="35" xfId="11" applyNumberFormat="1" applyFont="1" applyFill="1" applyBorder="1" applyAlignment="1" applyProtection="1">
      <alignment horizontal="right" vertical="top"/>
    </xf>
    <xf numFmtId="3" fontId="11" fillId="0" borderId="1" xfId="0" applyNumberFormat="1" applyFont="1" applyBorder="1" applyAlignment="1">
      <alignment horizontal="center" vertical="center" wrapText="1"/>
    </xf>
    <xf numFmtId="3" fontId="3" fillId="0" borderId="1" xfId="1" applyNumberFormat="1" applyFont="1" applyFill="1" applyBorder="1" applyAlignment="1" applyProtection="1">
      <alignment horizontal="center" vertical="center" wrapText="1"/>
    </xf>
    <xf numFmtId="3" fontId="17" fillId="0" borderId="1" xfId="0" applyNumberFormat="1" applyFont="1" applyBorder="1" applyAlignment="1">
      <alignment horizontal="center" vertical="center" wrapText="1"/>
    </xf>
    <xf numFmtId="170" fontId="21" fillId="0" borderId="1" xfId="0" applyNumberFormat="1" applyFont="1" applyBorder="1" applyAlignment="1">
      <alignment horizontal="center" vertical="center" wrapText="1"/>
    </xf>
    <xf numFmtId="3" fontId="4" fillId="0" borderId="0" xfId="0" applyNumberFormat="1" applyFont="1" applyAlignment="1">
      <alignment horizontal="right" vertical="center" wrapText="1"/>
    </xf>
    <xf numFmtId="3" fontId="17" fillId="0" borderId="1" xfId="0" applyNumberFormat="1" applyFont="1" applyBorder="1" applyAlignment="1">
      <alignment horizontal="left" vertical="top" wrapText="1"/>
    </xf>
    <xf numFmtId="175" fontId="22" fillId="0" borderId="1" xfId="18" applyNumberFormat="1" applyFont="1" applyBorder="1" applyAlignment="1" applyProtection="1">
      <alignment horizontal="center" vertical="center" wrapText="1"/>
    </xf>
    <xf numFmtId="3" fontId="16" fillId="0" borderId="36" xfId="3" applyNumberFormat="1" applyFont="1" applyFill="1" applyBorder="1" applyAlignment="1" applyProtection="1">
      <alignment horizontal="right" vertical="center" wrapText="1"/>
    </xf>
    <xf numFmtId="3" fontId="16" fillId="0" borderId="37" xfId="0" applyNumberFormat="1" applyFont="1" applyBorder="1" applyAlignment="1">
      <alignment horizontal="right" vertical="center" wrapText="1"/>
    </xf>
    <xf numFmtId="3" fontId="51" fillId="0" borderId="0" xfId="0" applyNumberFormat="1" applyFont="1" applyProtection="1">
      <protection locked="0"/>
    </xf>
    <xf numFmtId="3" fontId="52" fillId="0" borderId="0" xfId="0" applyNumberFormat="1" applyFont="1" applyProtection="1">
      <protection locked="0"/>
    </xf>
    <xf numFmtId="3" fontId="32" fillId="0" borderId="0" xfId="0" applyNumberFormat="1" applyFont="1" applyAlignment="1" applyProtection="1">
      <alignment horizontal="center"/>
      <protection locked="0"/>
    </xf>
    <xf numFmtId="3" fontId="53" fillId="0" borderId="0" xfId="0" applyNumberFormat="1" applyFont="1" applyProtection="1">
      <protection locked="0"/>
    </xf>
    <xf numFmtId="0" fontId="16" fillId="5" borderId="17" xfId="0" applyFont="1" applyFill="1" applyBorder="1" applyAlignment="1">
      <alignment horizontal="center" vertical="center" wrapText="1"/>
    </xf>
    <xf numFmtId="167" fontId="0" fillId="24" borderId="0" xfId="2" applyFont="1" applyFill="1"/>
    <xf numFmtId="167" fontId="0" fillId="9" borderId="0" xfId="2" applyFont="1" applyFill="1"/>
    <xf numFmtId="3" fontId="32" fillId="14" borderId="1" xfId="0" applyNumberFormat="1" applyFont="1" applyFill="1" applyBorder="1" applyAlignment="1">
      <alignment vertical="center" wrapText="1"/>
    </xf>
    <xf numFmtId="0" fontId="33" fillId="0" borderId="0" xfId="0" applyFont="1" applyAlignment="1" applyProtection="1">
      <alignment horizontal="left" vertical="center" wrapText="1"/>
      <protection locked="0"/>
    </xf>
    <xf numFmtId="3" fontId="32" fillId="0" borderId="0" xfId="0" applyNumberFormat="1" applyFont="1" applyAlignment="1" applyProtection="1">
      <alignment vertical="center" wrapText="1"/>
      <protection locked="0"/>
    </xf>
    <xf numFmtId="0" fontId="42" fillId="15" borderId="2" xfId="0" applyFont="1" applyFill="1" applyBorder="1" applyAlignment="1">
      <alignment horizontal="center" vertical="center" wrapText="1"/>
    </xf>
    <xf numFmtId="0" fontId="43" fillId="15" borderId="1" xfId="0" applyFont="1" applyFill="1" applyBorder="1" applyAlignment="1">
      <alignment horizontal="center" vertical="center" wrapText="1"/>
    </xf>
    <xf numFmtId="3" fontId="33" fillId="3" borderId="1" xfId="0" applyNumberFormat="1" applyFont="1" applyFill="1" applyBorder="1" applyAlignment="1">
      <alignment horizontal="right" vertical="center" wrapText="1"/>
    </xf>
    <xf numFmtId="3" fontId="33" fillId="3" borderId="1" xfId="0" applyNumberFormat="1" applyFont="1" applyFill="1" applyBorder="1" applyAlignment="1">
      <alignment vertical="center" wrapText="1"/>
    </xf>
    <xf numFmtId="3" fontId="32" fillId="0" borderId="1" xfId="0" applyNumberFormat="1" applyFont="1" applyBorder="1" applyAlignment="1">
      <alignment vertical="center" wrapText="1"/>
    </xf>
    <xf numFmtId="0" fontId="32" fillId="0" borderId="0" xfId="0" applyFont="1" applyAlignment="1" applyProtection="1">
      <alignment horizontal="left" vertical="center" wrapText="1"/>
      <protection locked="0"/>
    </xf>
    <xf numFmtId="0" fontId="33" fillId="0" borderId="0" xfId="0" applyFont="1" applyAlignment="1" applyProtection="1">
      <alignment horizontal="center" vertical="center" wrapText="1"/>
      <protection locked="0"/>
    </xf>
    <xf numFmtId="0" fontId="42" fillId="13" borderId="2" xfId="0" applyFont="1" applyFill="1" applyBorder="1" applyAlignment="1">
      <alignment horizontal="center" vertical="center" wrapText="1"/>
    </xf>
    <xf numFmtId="0" fontId="43" fillId="13" borderId="1" xfId="0" applyFont="1" applyFill="1" applyBorder="1" applyAlignment="1">
      <alignment horizontal="center" vertical="center" wrapText="1"/>
    </xf>
    <xf numFmtId="3" fontId="33" fillId="11" borderId="1" xfId="0" applyNumberFormat="1" applyFont="1" applyFill="1" applyBorder="1" applyAlignment="1">
      <alignment horizontal="right" vertical="center" wrapText="1"/>
    </xf>
    <xf numFmtId="3" fontId="33" fillId="11" borderId="1" xfId="0" applyNumberFormat="1" applyFont="1" applyFill="1" applyBorder="1" applyAlignment="1">
      <alignment horizontal="right"/>
    </xf>
    <xf numFmtId="3" fontId="33" fillId="11" borderId="1" xfId="0" applyNumberFormat="1" applyFont="1" applyFill="1" applyBorder="1" applyAlignment="1">
      <alignment vertical="center" wrapText="1"/>
    </xf>
    <xf numFmtId="0" fontId="33" fillId="0" borderId="0" xfId="0" applyFont="1" applyAlignment="1" applyProtection="1">
      <alignment vertical="center" wrapText="1"/>
      <protection locked="0"/>
    </xf>
    <xf numFmtId="3" fontId="33" fillId="0" borderId="0" xfId="0" applyNumberFormat="1" applyFont="1" applyAlignment="1" applyProtection="1">
      <alignment horizontal="right"/>
      <protection locked="0"/>
    </xf>
    <xf numFmtId="0" fontId="33" fillId="0" borderId="0" xfId="0" applyFont="1" applyAlignment="1" applyProtection="1">
      <alignment horizontal="right"/>
      <protection locked="0"/>
    </xf>
    <xf numFmtId="4" fontId="33" fillId="3" borderId="1" xfId="0" applyNumberFormat="1" applyFont="1" applyFill="1" applyBorder="1" applyAlignment="1">
      <alignment horizontal="center" vertical="center" wrapText="1"/>
    </xf>
    <xf numFmtId="3" fontId="32" fillId="3" borderId="1" xfId="0" applyNumberFormat="1" applyFont="1" applyFill="1" applyBorder="1" applyAlignment="1">
      <alignment horizontal="right" vertical="center" wrapText="1"/>
    </xf>
    <xf numFmtId="3" fontId="32" fillId="9" borderId="1" xfId="0" applyNumberFormat="1" applyFont="1" applyFill="1" applyBorder="1" applyAlignment="1" applyProtection="1">
      <alignment horizontal="center"/>
      <protection locked="0"/>
    </xf>
    <xf numFmtId="10" fontId="32" fillId="25" borderId="1" xfId="35" applyNumberFormat="1" applyFont="1" applyFill="1" applyBorder="1" applyAlignment="1" applyProtection="1">
      <alignment horizontal="center" vertical="center" wrapText="1"/>
      <protection locked="0"/>
    </xf>
    <xf numFmtId="3" fontId="32" fillId="9" borderId="1" xfId="0" applyNumberFormat="1" applyFont="1" applyFill="1" applyBorder="1" applyAlignment="1" applyProtection="1">
      <alignment horizontal="right"/>
      <protection locked="0"/>
    </xf>
    <xf numFmtId="3" fontId="31" fillId="0" borderId="1" xfId="0" applyNumberFormat="1" applyFont="1" applyBorder="1" applyProtection="1">
      <protection locked="0"/>
    </xf>
    <xf numFmtId="3" fontId="32" fillId="9" borderId="1" xfId="0" applyNumberFormat="1" applyFont="1" applyFill="1" applyBorder="1" applyProtection="1">
      <protection locked="0"/>
    </xf>
    <xf numFmtId="0" fontId="0" fillId="0" borderId="64" xfId="0" applyBorder="1"/>
    <xf numFmtId="180" fontId="17" fillId="0" borderId="65" xfId="0" applyNumberFormat="1" applyFont="1" applyBorder="1" applyAlignment="1" applyProtection="1">
      <alignment horizontal="right" vertical="center" wrapText="1"/>
      <protection locked="0"/>
    </xf>
    <xf numFmtId="0" fontId="0" fillId="0" borderId="18" xfId="0" applyBorder="1"/>
    <xf numFmtId="3" fontId="17" fillId="0" borderId="19" xfId="0" applyNumberFormat="1" applyFont="1" applyBorder="1" applyAlignment="1" applyProtection="1">
      <alignment horizontal="justify" vertical="center" wrapText="1"/>
      <protection locked="0"/>
    </xf>
    <xf numFmtId="178" fontId="17" fillId="0" borderId="19" xfId="0" applyNumberFormat="1" applyFont="1" applyBorder="1" applyAlignment="1" applyProtection="1">
      <alignment horizontal="justify" vertical="center" wrapText="1"/>
      <protection locked="0"/>
    </xf>
    <xf numFmtId="3" fontId="17" fillId="0" borderId="20" xfId="0" applyNumberFormat="1" applyFont="1" applyBorder="1" applyAlignment="1" applyProtection="1">
      <alignment horizontal="justify" vertical="center" wrapText="1"/>
      <protection locked="0"/>
    </xf>
    <xf numFmtId="169" fontId="17" fillId="0" borderId="1" xfId="1" applyFont="1" applyFill="1" applyBorder="1" applyAlignment="1" applyProtection="1">
      <alignment horizontal="justify" vertical="center" wrapText="1"/>
      <protection locked="0"/>
    </xf>
    <xf numFmtId="3" fontId="45" fillId="0" borderId="0" xfId="0" applyNumberFormat="1" applyFont="1"/>
    <xf numFmtId="0" fontId="17" fillId="0" borderId="0" xfId="0" applyFont="1" applyAlignment="1">
      <alignment horizontal="justify" vertical="center" wrapText="1"/>
    </xf>
    <xf numFmtId="10" fontId="42" fillId="13" borderId="1" xfId="34" applyNumberFormat="1" applyFont="1" applyFill="1" applyBorder="1" applyAlignment="1">
      <alignment horizontal="center"/>
    </xf>
    <xf numFmtId="3" fontId="17" fillId="0" borderId="0" xfId="0" applyNumberFormat="1" applyFont="1" applyAlignment="1">
      <alignment horizontal="justify" vertical="center" wrapText="1"/>
    </xf>
    <xf numFmtId="9" fontId="17" fillId="0" borderId="0" xfId="0" applyNumberFormat="1" applyFont="1" applyAlignment="1">
      <alignment horizontal="justify" vertical="center" wrapText="1"/>
    </xf>
    <xf numFmtId="3" fontId="17" fillId="0" borderId="0" xfId="0" applyNumberFormat="1" applyFont="1" applyAlignment="1">
      <alignment horizontal="right" vertical="center" wrapText="1"/>
    </xf>
    <xf numFmtId="177" fontId="25" fillId="0" borderId="1" xfId="0" applyNumberFormat="1" applyFont="1" applyBorder="1" applyAlignment="1">
      <alignment horizontal="center" vertical="center" wrapText="1"/>
    </xf>
    <xf numFmtId="3" fontId="62" fillId="3" borderId="1" xfId="0" applyNumberFormat="1" applyFont="1" applyFill="1" applyBorder="1"/>
    <xf numFmtId="3" fontId="9" fillId="0" borderId="3" xfId="3" applyNumberFormat="1" applyFont="1" applyFill="1" applyBorder="1" applyAlignment="1" applyProtection="1">
      <alignment horizontal="right" vertical="center" wrapText="1"/>
      <protection locked="0"/>
    </xf>
    <xf numFmtId="3" fontId="9" fillId="0" borderId="3" xfId="22" applyNumberFormat="1" applyFont="1" applyFill="1" applyBorder="1" applyAlignment="1" applyProtection="1">
      <alignment horizontal="right" vertical="center" wrapText="1"/>
      <protection locked="0"/>
    </xf>
    <xf numFmtId="0" fontId="6" fillId="0" borderId="0" xfId="11" applyAlignment="1" applyProtection="1">
      <protection locked="0"/>
    </xf>
    <xf numFmtId="0" fontId="16" fillId="5" borderId="7" xfId="0" applyFont="1" applyFill="1" applyBorder="1" applyAlignment="1">
      <alignment horizontal="center" vertical="center" wrapText="1"/>
    </xf>
    <xf numFmtId="0" fontId="16" fillId="5" borderId="5" xfId="0" applyFont="1" applyFill="1" applyBorder="1" applyAlignment="1">
      <alignment horizontal="center" vertical="center" wrapText="1"/>
    </xf>
    <xf numFmtId="3" fontId="26" fillId="0" borderId="14" xfId="3" applyNumberFormat="1" applyFont="1" applyFill="1" applyBorder="1" applyAlignment="1" applyProtection="1">
      <alignment horizontal="right" vertical="center" wrapText="1"/>
    </xf>
    <xf numFmtId="3" fontId="37" fillId="0" borderId="1" xfId="29" applyNumberFormat="1" applyFont="1" applyBorder="1" applyAlignment="1">
      <alignment horizontal="right"/>
    </xf>
    <xf numFmtId="178" fontId="3" fillId="0" borderId="0" xfId="0" applyNumberFormat="1" applyFont="1"/>
    <xf numFmtId="3" fontId="33" fillId="3" borderId="3" xfId="0" applyNumberFormat="1" applyFont="1" applyFill="1" applyBorder="1" applyAlignment="1">
      <alignment horizontal="center"/>
    </xf>
    <xf numFmtId="0" fontId="41" fillId="0" borderId="0" xfId="0" applyFont="1"/>
    <xf numFmtId="0" fontId="41" fillId="0" borderId="0" xfId="0" applyFont="1" applyAlignment="1">
      <alignment horizontal="center"/>
    </xf>
    <xf numFmtId="0" fontId="40" fillId="17" borderId="1" xfId="0" applyFont="1" applyFill="1" applyBorder="1" applyAlignment="1">
      <alignment horizontal="center" vertical="center"/>
    </xf>
    <xf numFmtId="0" fontId="40" fillId="17"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0" fontId="40" fillId="17" borderId="1" xfId="0" applyFont="1" applyFill="1" applyBorder="1" applyAlignment="1">
      <alignment vertical="center" wrapText="1"/>
    </xf>
    <xf numFmtId="0" fontId="41" fillId="0" borderId="1" xfId="0" applyFont="1" applyBorder="1" applyAlignment="1">
      <alignment horizontal="center" vertical="center"/>
    </xf>
    <xf numFmtId="0" fontId="41" fillId="17" borderId="1" xfId="0" applyFont="1" applyFill="1" applyBorder="1" applyAlignment="1">
      <alignment horizontal="center" vertical="center"/>
    </xf>
    <xf numFmtId="0" fontId="40" fillId="0" borderId="1" xfId="0" applyFont="1" applyBorder="1" applyAlignment="1">
      <alignment horizontal="center" vertical="center"/>
    </xf>
    <xf numFmtId="0" fontId="41" fillId="0" borderId="1" xfId="0" applyFont="1" applyBorder="1" applyAlignment="1">
      <alignment horizontal="center" vertical="center" wrapText="1"/>
    </xf>
    <xf numFmtId="0" fontId="40" fillId="0" borderId="6" xfId="0" applyFont="1" applyBorder="1"/>
    <xf numFmtId="3" fontId="33" fillId="14" borderId="3" xfId="0" applyNumberFormat="1" applyFont="1" applyFill="1" applyBorder="1" applyProtection="1">
      <protection locked="0"/>
    </xf>
    <xf numFmtId="3" fontId="37" fillId="14" borderId="1" xfId="29" applyNumberFormat="1" applyFont="1" applyFill="1" applyBorder="1" applyAlignment="1">
      <alignment horizontal="right"/>
    </xf>
    <xf numFmtId="3" fontId="33" fillId="9" borderId="1" xfId="0" applyNumberFormat="1" applyFont="1" applyFill="1" applyBorder="1" applyProtection="1">
      <protection locked="0"/>
    </xf>
    <xf numFmtId="3" fontId="32" fillId="5" borderId="1" xfId="0" applyNumberFormat="1" applyFont="1" applyFill="1" applyBorder="1" applyAlignment="1">
      <alignment horizontal="left"/>
    </xf>
    <xf numFmtId="3" fontId="37" fillId="28" borderId="1" xfId="29" applyNumberFormat="1" applyFont="1" applyFill="1" applyBorder="1" applyAlignment="1">
      <alignment horizontal="right"/>
    </xf>
    <xf numFmtId="3" fontId="33" fillId="28" borderId="1" xfId="0" applyNumberFormat="1" applyFont="1" applyFill="1" applyBorder="1" applyProtection="1">
      <protection locked="0"/>
    </xf>
    <xf numFmtId="3" fontId="33" fillId="3" borderId="0" xfId="0" applyNumberFormat="1" applyFont="1" applyFill="1"/>
    <xf numFmtId="3" fontId="33" fillId="3" borderId="1" xfId="0" applyNumberFormat="1" applyFont="1" applyFill="1" applyBorder="1" applyProtection="1">
      <protection locked="0"/>
    </xf>
    <xf numFmtId="3" fontId="32" fillId="3" borderId="1" xfId="0" applyNumberFormat="1" applyFont="1" applyFill="1" applyBorder="1" applyAlignment="1" applyProtection="1">
      <alignment horizontal="center"/>
      <protection locked="0"/>
    </xf>
    <xf numFmtId="3" fontId="33" fillId="28" borderId="1" xfId="0" applyNumberFormat="1" applyFont="1" applyFill="1" applyBorder="1" applyAlignment="1" applyProtection="1">
      <alignment horizontal="right"/>
      <protection locked="0"/>
    </xf>
    <xf numFmtId="3" fontId="33" fillId="28" borderId="2" xfId="0" applyNumberFormat="1" applyFont="1" applyFill="1" applyBorder="1" applyAlignment="1" applyProtection="1">
      <alignment horizontal="left"/>
      <protection locked="0"/>
    </xf>
    <xf numFmtId="3" fontId="33" fillId="28" borderId="5" xfId="0" applyNumberFormat="1" applyFont="1" applyFill="1" applyBorder="1" applyAlignment="1" applyProtection="1">
      <alignment horizontal="left"/>
      <protection locked="0"/>
    </xf>
    <xf numFmtId="3" fontId="37" fillId="28" borderId="1" xfId="29" applyNumberFormat="1" applyFont="1" applyFill="1" applyBorder="1"/>
    <xf numFmtId="3" fontId="32" fillId="5" borderId="2" xfId="0" applyNumberFormat="1" applyFont="1" applyFill="1" applyBorder="1"/>
    <xf numFmtId="3" fontId="33" fillId="28" borderId="3" xfId="0" applyNumberFormat="1" applyFont="1" applyFill="1" applyBorder="1" applyAlignment="1" applyProtection="1">
      <alignment horizontal="center"/>
      <protection locked="0"/>
    </xf>
    <xf numFmtId="3" fontId="33" fillId="28" borderId="3" xfId="0" applyNumberFormat="1" applyFont="1" applyFill="1" applyBorder="1" applyAlignment="1" applyProtection="1">
      <alignment horizontal="right"/>
      <protection locked="0"/>
    </xf>
    <xf numFmtId="3" fontId="32" fillId="5" borderId="26" xfId="0" applyNumberFormat="1" applyFont="1" applyFill="1" applyBorder="1"/>
    <xf numFmtId="3" fontId="32" fillId="3" borderId="0" xfId="0" applyNumberFormat="1" applyFont="1" applyFill="1" applyAlignment="1" applyProtection="1">
      <alignment horizontal="center"/>
      <protection locked="0"/>
    </xf>
    <xf numFmtId="3" fontId="32" fillId="28" borderId="1" xfId="11" applyNumberFormat="1" applyFont="1" applyFill="1" applyBorder="1" applyAlignment="1" applyProtection="1">
      <alignment horizontal="center" vertical="center" wrapText="1"/>
    </xf>
    <xf numFmtId="3" fontId="32" fillId="28" borderId="2" xfId="0" applyNumberFormat="1" applyFont="1" applyFill="1" applyBorder="1" applyAlignment="1">
      <alignment vertical="center"/>
    </xf>
    <xf numFmtId="3" fontId="33" fillId="28" borderId="5" xfId="0" applyNumberFormat="1" applyFont="1" applyFill="1" applyBorder="1" applyProtection="1">
      <protection locked="0"/>
    </xf>
    <xf numFmtId="3" fontId="19" fillId="5" borderId="3" xfId="11" applyNumberFormat="1" applyFont="1" applyFill="1" applyBorder="1" applyAlignment="1" applyProtection="1">
      <alignment vertical="center" textRotation="90" wrapText="1"/>
    </xf>
    <xf numFmtId="3" fontId="19" fillId="5" borderId="1" xfId="11" applyNumberFormat="1" applyFont="1" applyFill="1" applyBorder="1" applyAlignment="1" applyProtection="1">
      <alignment vertical="center" textRotation="90" wrapText="1"/>
    </xf>
    <xf numFmtId="3" fontId="33" fillId="28" borderId="1" xfId="0" applyNumberFormat="1" applyFont="1" applyFill="1" applyBorder="1" applyAlignment="1" applyProtection="1">
      <alignment vertical="center" wrapText="1"/>
      <protection locked="0"/>
    </xf>
    <xf numFmtId="0" fontId="33" fillId="28" borderId="2" xfId="0" applyFont="1" applyFill="1" applyBorder="1" applyAlignment="1" applyProtection="1">
      <alignment horizontal="center" vertical="center" wrapText="1"/>
      <protection locked="0"/>
    </xf>
    <xf numFmtId="0" fontId="33" fillId="28" borderId="2" xfId="0" applyFont="1" applyFill="1" applyBorder="1" applyAlignment="1" applyProtection="1">
      <alignment vertical="center" wrapText="1"/>
      <protection locked="0"/>
    </xf>
    <xf numFmtId="0" fontId="32" fillId="28" borderId="2" xfId="0" applyFont="1" applyFill="1" applyBorder="1" applyAlignment="1" applyProtection="1">
      <alignment horizontal="left" vertical="center" wrapText="1"/>
      <protection locked="0"/>
    </xf>
    <xf numFmtId="0" fontId="33" fillId="28" borderId="1" xfId="0" applyFont="1" applyFill="1" applyBorder="1" applyAlignment="1" applyProtection="1">
      <alignment horizontal="justify" vertical="center" wrapText="1"/>
      <protection locked="0"/>
    </xf>
    <xf numFmtId="0" fontId="33" fillId="28" borderId="1" xfId="0" applyFont="1" applyFill="1" applyBorder="1" applyProtection="1">
      <protection locked="0"/>
    </xf>
    <xf numFmtId="0" fontId="33" fillId="28" borderId="1" xfId="0" applyFont="1" applyFill="1" applyBorder="1" applyAlignment="1" applyProtection="1">
      <alignment vertical="center" wrapText="1"/>
      <protection locked="0"/>
    </xf>
    <xf numFmtId="3" fontId="9" fillId="28" borderId="1" xfId="0" applyNumberFormat="1" applyFont="1" applyFill="1" applyBorder="1" applyAlignment="1" applyProtection="1">
      <alignment horizontal="right" vertical="center" wrapText="1"/>
      <protection locked="0"/>
    </xf>
    <xf numFmtId="3" fontId="16" fillId="28" borderId="1" xfId="0" applyNumberFormat="1" applyFont="1" applyFill="1" applyBorder="1" applyAlignment="1" applyProtection="1">
      <alignment horizontal="left" vertical="center" wrapText="1"/>
      <protection locked="0"/>
    </xf>
    <xf numFmtId="3" fontId="33" fillId="28" borderId="3" xfId="0" applyNumberFormat="1" applyFont="1" applyFill="1" applyBorder="1" applyProtection="1">
      <protection locked="0"/>
    </xf>
    <xf numFmtId="164" fontId="27" fillId="28" borderId="0" xfId="42" applyFont="1" applyFill="1"/>
    <xf numFmtId="3" fontId="32" fillId="11" borderId="1" xfId="0" applyNumberFormat="1" applyFont="1" applyFill="1" applyBorder="1" applyAlignment="1">
      <alignment horizontal="left"/>
    </xf>
    <xf numFmtId="3" fontId="33" fillId="3" borderId="5" xfId="0" applyNumberFormat="1" applyFont="1" applyFill="1" applyBorder="1"/>
    <xf numFmtId="3" fontId="32" fillId="3" borderId="7" xfId="0" applyNumberFormat="1" applyFont="1" applyFill="1" applyBorder="1" applyAlignment="1">
      <alignment horizontal="center" vertical="center"/>
    </xf>
    <xf numFmtId="3" fontId="41" fillId="17" borderId="1" xfId="0" applyNumberFormat="1" applyFont="1" applyFill="1" applyBorder="1" applyAlignment="1">
      <alignment horizontal="right" vertical="center"/>
    </xf>
    <xf numFmtId="3" fontId="41" fillId="0" borderId="1" xfId="0" applyNumberFormat="1" applyFont="1" applyBorder="1" applyAlignment="1">
      <alignment horizontal="right" vertical="center"/>
    </xf>
    <xf numFmtId="3" fontId="31" fillId="0" borderId="1" xfId="0" applyNumberFormat="1" applyFont="1" applyBorder="1"/>
    <xf numFmtId="3" fontId="32" fillId="14" borderId="5" xfId="0" applyNumberFormat="1" applyFont="1" applyFill="1" applyBorder="1" applyAlignment="1">
      <alignment vertical="center"/>
    </xf>
    <xf numFmtId="3" fontId="32" fillId="0" borderId="1" xfId="0" applyNumberFormat="1" applyFont="1" applyBorder="1"/>
    <xf numFmtId="0" fontId="0" fillId="0" borderId="21" xfId="0" applyBorder="1"/>
    <xf numFmtId="3" fontId="63" fillId="0" borderId="1" xfId="0" applyNumberFormat="1" applyFont="1" applyBorder="1"/>
    <xf numFmtId="0" fontId="32" fillId="0" borderId="2" xfId="0" applyFont="1" applyBorder="1" applyAlignment="1">
      <alignment vertical="center" wrapText="1"/>
    </xf>
    <xf numFmtId="0" fontId="32" fillId="0" borderId="7" xfId="0" applyFont="1" applyBorder="1" applyAlignment="1">
      <alignment vertical="center" wrapText="1"/>
    </xf>
    <xf numFmtId="181" fontId="6" fillId="5" borderId="1" xfId="11" applyNumberFormat="1" applyFill="1" applyBorder="1" applyAlignment="1" applyProtection="1">
      <alignment textRotation="90"/>
    </xf>
    <xf numFmtId="3" fontId="6" fillId="5" borderId="6" xfId="11" applyNumberFormat="1" applyFill="1" applyBorder="1" applyAlignment="1" applyProtection="1">
      <alignment vertical="center" textRotation="90" wrapText="1"/>
    </xf>
    <xf numFmtId="3" fontId="6" fillId="5" borderId="1" xfId="11" applyNumberFormat="1" applyFill="1" applyBorder="1" applyAlignment="1" applyProtection="1">
      <alignment vertical="center" textRotation="90" wrapText="1"/>
    </xf>
    <xf numFmtId="0" fontId="40" fillId="0" borderId="22" xfId="0" applyFont="1" applyBorder="1"/>
    <xf numFmtId="3" fontId="63" fillId="0" borderId="6" xfId="0" applyNumberFormat="1" applyFont="1" applyBorder="1"/>
    <xf numFmtId="3" fontId="53" fillId="0" borderId="1" xfId="0" applyNumberFormat="1" applyFont="1" applyBorder="1"/>
    <xf numFmtId="3" fontId="70" fillId="0" borderId="1" xfId="0" applyNumberFormat="1" applyFont="1" applyBorder="1"/>
    <xf numFmtId="167" fontId="53" fillId="0" borderId="1" xfId="2" applyFont="1" applyBorder="1"/>
    <xf numFmtId="167" fontId="0" fillId="0" borderId="0" xfId="2" applyFont="1" applyAlignment="1">
      <alignment horizontal="right"/>
    </xf>
    <xf numFmtId="3" fontId="18" fillId="3" borderId="1" xfId="11" applyNumberFormat="1" applyFont="1" applyFill="1" applyBorder="1" applyAlignment="1" applyProtection="1"/>
    <xf numFmtId="3" fontId="46" fillId="9" borderId="1" xfId="29" applyNumberFormat="1" applyFont="1" applyFill="1" applyBorder="1"/>
    <xf numFmtId="3" fontId="26" fillId="9" borderId="1" xfId="3" applyNumberFormat="1" applyFont="1" applyFill="1" applyBorder="1" applyAlignment="1" applyProtection="1">
      <alignment horizontal="right" vertical="center" wrapText="1"/>
      <protection locked="0"/>
    </xf>
    <xf numFmtId="3" fontId="47" fillId="3" borderId="14" xfId="0" applyNumberFormat="1" applyFont="1" applyFill="1" applyBorder="1"/>
    <xf numFmtId="9" fontId="25" fillId="3" borderId="14" xfId="0" applyNumberFormat="1" applyFont="1" applyFill="1" applyBorder="1" applyAlignment="1">
      <alignment horizontal="center" vertical="center" wrapText="1"/>
    </xf>
    <xf numFmtId="3" fontId="26" fillId="3" borderId="14" xfId="3" applyNumberFormat="1" applyFont="1" applyFill="1" applyBorder="1" applyAlignment="1" applyProtection="1">
      <alignment horizontal="right" vertical="center" wrapText="1"/>
    </xf>
    <xf numFmtId="3" fontId="25" fillId="3" borderId="14" xfId="3" applyNumberFormat="1" applyFont="1" applyFill="1" applyBorder="1" applyAlignment="1" applyProtection="1">
      <alignment horizontal="right" vertical="center" wrapText="1"/>
    </xf>
    <xf numFmtId="3" fontId="25" fillId="3" borderId="14" xfId="0" applyNumberFormat="1" applyFont="1" applyFill="1" applyBorder="1" applyAlignment="1">
      <alignment horizontal="right" vertical="center" wrapText="1"/>
    </xf>
    <xf numFmtId="3" fontId="32" fillId="9" borderId="1" xfId="3" applyNumberFormat="1" applyFont="1" applyFill="1" applyBorder="1" applyAlignment="1" applyProtection="1">
      <alignment vertical="center"/>
      <protection locked="0"/>
    </xf>
    <xf numFmtId="3" fontId="38" fillId="9" borderId="1" xfId="0" applyNumberFormat="1" applyFont="1" applyFill="1" applyBorder="1" applyAlignment="1" applyProtection="1">
      <alignment horizontal="center" vertical="center"/>
      <protection locked="0"/>
    </xf>
    <xf numFmtId="3" fontId="0" fillId="10" borderId="0" xfId="0" applyNumberFormat="1" applyFill="1"/>
    <xf numFmtId="0" fontId="72" fillId="0" borderId="11" xfId="0" applyFont="1" applyBorder="1" applyAlignment="1">
      <alignment horizontal="left" vertical="top" wrapText="1"/>
    </xf>
    <xf numFmtId="4" fontId="73" fillId="0" borderId="1" xfId="0" applyNumberFormat="1" applyFont="1" applyBorder="1" applyAlignment="1">
      <alignment horizontal="left" vertical="top" indent="2" shrinkToFit="1"/>
    </xf>
    <xf numFmtId="4" fontId="73" fillId="0" borderId="14" xfId="0" applyNumberFormat="1" applyFont="1" applyBorder="1" applyAlignment="1">
      <alignment horizontal="left" vertical="top" indent="2" shrinkToFit="1"/>
    </xf>
    <xf numFmtId="1" fontId="73" fillId="0" borderId="11" xfId="0" applyNumberFormat="1" applyFont="1" applyBorder="1" applyAlignment="1">
      <alignment horizontal="left" vertical="top" shrinkToFit="1"/>
    </xf>
    <xf numFmtId="182" fontId="73" fillId="0" borderId="1" xfId="0" applyNumberFormat="1" applyFont="1" applyBorder="1" applyAlignment="1">
      <alignment horizontal="left" vertical="top" indent="2" shrinkToFit="1"/>
    </xf>
    <xf numFmtId="2" fontId="73" fillId="0" borderId="1" xfId="0" applyNumberFormat="1" applyFont="1" applyBorder="1" applyAlignment="1">
      <alignment horizontal="left" vertical="top" indent="2" shrinkToFit="1"/>
    </xf>
    <xf numFmtId="0" fontId="72" fillId="0" borderId="1" xfId="0" applyFont="1" applyBorder="1" applyAlignment="1">
      <alignment horizontal="left" vertical="top" wrapText="1" indent="2"/>
    </xf>
    <xf numFmtId="2" fontId="73" fillId="0" borderId="14" xfId="0" applyNumberFormat="1" applyFont="1" applyBorder="1" applyAlignment="1">
      <alignment horizontal="left" vertical="top" indent="2" shrinkToFit="1"/>
    </xf>
    <xf numFmtId="0" fontId="72" fillId="0" borderId="14" xfId="0" applyFont="1" applyBorder="1" applyAlignment="1">
      <alignment horizontal="left" vertical="top" wrapText="1" indent="2"/>
    </xf>
    <xf numFmtId="182" fontId="73" fillId="0" borderId="14" xfId="0" applyNumberFormat="1" applyFont="1" applyBorder="1" applyAlignment="1">
      <alignment horizontal="left" vertical="top" indent="2" shrinkToFit="1"/>
    </xf>
    <xf numFmtId="1" fontId="73" fillId="0" borderId="12" xfId="0" applyNumberFormat="1" applyFont="1" applyBorder="1" applyAlignment="1">
      <alignment horizontal="left" vertical="top" shrinkToFit="1"/>
    </xf>
    <xf numFmtId="2" fontId="73" fillId="0" borderId="9" xfId="0" applyNumberFormat="1" applyFont="1" applyBorder="1" applyAlignment="1">
      <alignment horizontal="left" vertical="top" indent="2" shrinkToFit="1"/>
    </xf>
    <xf numFmtId="2" fontId="73" fillId="0" borderId="15" xfId="0" applyNumberFormat="1" applyFont="1" applyBorder="1" applyAlignment="1">
      <alignment horizontal="left" vertical="top" indent="2" shrinkToFit="1"/>
    </xf>
    <xf numFmtId="3" fontId="41" fillId="17" borderId="1" xfId="0" applyNumberFormat="1" applyFont="1" applyFill="1" applyBorder="1" applyAlignment="1">
      <alignment horizontal="right" vertical="center" wrapText="1"/>
    </xf>
    <xf numFmtId="3" fontId="75" fillId="0" borderId="0" xfId="0" applyNumberFormat="1" applyFont="1" applyAlignment="1">
      <alignment horizontal="justify" vertical="center" wrapText="1"/>
    </xf>
    <xf numFmtId="3" fontId="31" fillId="3" borderId="1" xfId="0" applyNumberFormat="1" applyFont="1" applyFill="1" applyBorder="1"/>
    <xf numFmtId="3" fontId="31" fillId="0" borderId="6" xfId="0" applyNumberFormat="1" applyFont="1" applyBorder="1" applyProtection="1">
      <protection locked="0"/>
    </xf>
    <xf numFmtId="3" fontId="76" fillId="17" borderId="1" xfId="0" applyNumberFormat="1" applyFont="1" applyFill="1" applyBorder="1" applyAlignment="1">
      <alignment horizontal="center" vertical="center" textRotation="90" wrapText="1"/>
    </xf>
    <xf numFmtId="3" fontId="51" fillId="0" borderId="3" xfId="14" applyNumberFormat="1" applyFont="1" applyFill="1" applyBorder="1" applyAlignment="1" applyProtection="1">
      <alignment horizontal="right" vertical="center" wrapText="1"/>
      <protection locked="0"/>
    </xf>
    <xf numFmtId="3" fontId="78" fillId="0" borderId="1" xfId="0" applyNumberFormat="1" applyFont="1" applyBorder="1" applyAlignment="1" applyProtection="1">
      <alignment horizontal="left" vertical="center" wrapText="1"/>
      <protection locked="0"/>
    </xf>
    <xf numFmtId="3" fontId="31" fillId="0" borderId="2" xfId="0" applyNumberFormat="1" applyFont="1" applyBorder="1" applyProtection="1">
      <protection locked="0"/>
    </xf>
    <xf numFmtId="3" fontId="31" fillId="0" borderId="22" xfId="0" applyNumberFormat="1" applyFont="1" applyBorder="1" applyProtection="1">
      <protection locked="0"/>
    </xf>
    <xf numFmtId="3" fontId="31" fillId="3" borderId="1" xfId="0" applyNumberFormat="1" applyFont="1" applyFill="1" applyBorder="1" applyAlignment="1">
      <alignment horizontal="center"/>
    </xf>
    <xf numFmtId="3" fontId="31" fillId="0" borderId="2" xfId="0" applyNumberFormat="1" applyFont="1" applyBorder="1"/>
    <xf numFmtId="3" fontId="51" fillId="0" borderId="2" xfId="0" applyNumberFormat="1" applyFont="1" applyBorder="1"/>
    <xf numFmtId="3" fontId="79" fillId="0" borderId="0" xfId="0" applyNumberFormat="1" applyFont="1" applyAlignment="1">
      <alignment horizontal="justify" vertical="center" wrapText="1"/>
    </xf>
    <xf numFmtId="174" fontId="11" fillId="2" borderId="3" xfId="0" applyNumberFormat="1" applyFont="1" applyFill="1" applyBorder="1" applyAlignment="1">
      <alignment horizontal="center" vertical="center" wrapText="1"/>
    </xf>
    <xf numFmtId="174" fontId="11" fillId="2" borderId="4" xfId="0" applyNumberFormat="1" applyFont="1" applyFill="1" applyBorder="1" applyAlignment="1">
      <alignment horizontal="center" vertical="center" wrapText="1"/>
    </xf>
    <xf numFmtId="174" fontId="11" fillId="3" borderId="1" xfId="0" applyNumberFormat="1" applyFont="1" applyFill="1" applyBorder="1" applyAlignment="1">
      <alignment horizontal="left" vertical="center" wrapText="1"/>
    </xf>
    <xf numFmtId="3" fontId="11" fillId="3" borderId="2" xfId="0" applyNumberFormat="1" applyFont="1" applyFill="1" applyBorder="1" applyAlignment="1">
      <alignment horizontal="right" vertical="center" wrapText="1"/>
    </xf>
    <xf numFmtId="3" fontId="11" fillId="3" borderId="1" xfId="0" applyNumberFormat="1" applyFont="1" applyFill="1" applyBorder="1" applyAlignment="1">
      <alignment horizontal="right" vertical="center" wrapText="1"/>
    </xf>
    <xf numFmtId="3" fontId="11" fillId="10" borderId="2" xfId="0" applyNumberFormat="1" applyFont="1" applyFill="1" applyBorder="1" applyAlignment="1" applyProtection="1">
      <alignment horizontal="right" vertical="center" wrapText="1"/>
      <protection locked="0"/>
    </xf>
    <xf numFmtId="3" fontId="17" fillId="3" borderId="2" xfId="0" applyNumberFormat="1" applyFont="1" applyFill="1" applyBorder="1" applyAlignment="1">
      <alignment horizontal="right" vertical="center" wrapText="1"/>
    </xf>
    <xf numFmtId="0" fontId="37" fillId="3" borderId="1" xfId="0" applyFont="1" applyFill="1" applyBorder="1" applyAlignment="1">
      <alignment horizontal="left" vertical="center" wrapText="1"/>
    </xf>
    <xf numFmtId="3" fontId="17" fillId="3" borderId="1" xfId="0" applyNumberFormat="1" applyFont="1" applyFill="1" applyBorder="1" applyAlignment="1">
      <alignment horizontal="right" vertical="center" wrapText="1"/>
    </xf>
    <xf numFmtId="0" fontId="17"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37" fillId="3" borderId="3" xfId="0" applyFont="1" applyFill="1" applyBorder="1" applyAlignment="1">
      <alignment horizontal="left" vertical="center" wrapText="1"/>
    </xf>
    <xf numFmtId="178" fontId="11" fillId="3" borderId="3" xfId="2" applyNumberFormat="1" applyFont="1" applyFill="1" applyBorder="1" applyAlignment="1" applyProtection="1">
      <alignment vertical="center" wrapText="1"/>
    </xf>
    <xf numFmtId="0" fontId="43" fillId="0" borderId="0" xfId="0" applyFont="1" applyAlignment="1">
      <alignment vertical="center" wrapText="1"/>
    </xf>
    <xf numFmtId="178" fontId="11" fillId="3" borderId="1" xfId="2" applyNumberFormat="1" applyFont="1" applyFill="1" applyBorder="1" applyAlignment="1" applyProtection="1">
      <alignment vertical="center" wrapText="1"/>
    </xf>
    <xf numFmtId="3" fontId="11" fillId="0" borderId="0" xfId="0" applyNumberFormat="1" applyFont="1" applyAlignment="1">
      <alignment horizontal="center" vertical="center" wrapText="1"/>
    </xf>
    <xf numFmtId="169" fontId="80" fillId="0" borderId="0" xfId="14" applyFont="1" applyFill="1" applyBorder="1" applyAlignment="1" applyProtection="1">
      <alignment horizontal="center" vertical="center" wrapText="1"/>
    </xf>
    <xf numFmtId="167" fontId="17" fillId="0" borderId="0" xfId="2" applyFont="1" applyFill="1" applyAlignment="1" applyProtection="1">
      <alignment horizontal="justify" vertical="center" wrapText="1"/>
    </xf>
    <xf numFmtId="3" fontId="80" fillId="0" borderId="0" xfId="0" applyNumberFormat="1" applyFont="1" applyAlignment="1">
      <alignment horizontal="center" vertical="center" wrapText="1"/>
    </xf>
    <xf numFmtId="0" fontId="80" fillId="0" borderId="0" xfId="0" applyFont="1" applyAlignment="1">
      <alignment horizontal="center" vertical="center" wrapText="1"/>
    </xf>
    <xf numFmtId="0" fontId="16" fillId="2" borderId="1" xfId="0" applyFont="1" applyFill="1" applyBorder="1" applyAlignment="1">
      <alignment horizontal="center" vertical="center" wrapText="1"/>
    </xf>
    <xf numFmtId="0" fontId="16" fillId="3" borderId="2" xfId="0" applyFont="1" applyFill="1" applyBorder="1" applyAlignment="1">
      <alignment horizontal="left" vertical="center" wrapText="1"/>
    </xf>
    <xf numFmtId="3" fontId="16" fillId="3" borderId="1" xfId="0" applyNumberFormat="1" applyFont="1" applyFill="1" applyBorder="1" applyAlignment="1">
      <alignment vertical="center" wrapText="1"/>
    </xf>
    <xf numFmtId="3" fontId="16" fillId="3" borderId="1" xfId="22" applyNumberFormat="1" applyFont="1" applyFill="1" applyBorder="1" applyAlignment="1" applyProtection="1">
      <alignment vertical="center" wrapText="1"/>
    </xf>
    <xf numFmtId="174" fontId="31" fillId="0" borderId="1" xfId="14" applyNumberFormat="1" applyFont="1" applyFill="1" applyBorder="1" applyProtection="1"/>
    <xf numFmtId="3" fontId="33" fillId="28" borderId="1" xfId="29" applyNumberFormat="1" applyFont="1" applyFill="1" applyBorder="1" applyAlignment="1">
      <alignment horizontal="right"/>
    </xf>
    <xf numFmtId="164" fontId="1" fillId="28" borderId="0" xfId="42" applyFont="1" applyFill="1"/>
    <xf numFmtId="3" fontId="4" fillId="0" borderId="1" xfId="0" applyNumberFormat="1" applyFont="1" applyBorder="1" applyAlignment="1">
      <alignment horizontal="right" vertical="center" wrapText="1"/>
    </xf>
    <xf numFmtId="3" fontId="3" fillId="0" borderId="0" xfId="0" applyNumberFormat="1" applyFont="1" applyAlignment="1">
      <alignment horizontal="right" vertical="center" wrapText="1"/>
    </xf>
    <xf numFmtId="0" fontId="33" fillId="28" borderId="2" xfId="0" applyFont="1" applyFill="1" applyBorder="1" applyAlignment="1" applyProtection="1">
      <alignment horizontal="left" vertical="center" wrapText="1"/>
      <protection locked="0"/>
    </xf>
    <xf numFmtId="3" fontId="33" fillId="28" borderId="1" xfId="29" applyNumberFormat="1" applyFont="1" applyFill="1" applyBorder="1"/>
    <xf numFmtId="3" fontId="47" fillId="0" borderId="63" xfId="22" applyNumberFormat="1" applyFont="1" applyFill="1" applyBorder="1" applyAlignment="1" applyProtection="1">
      <alignment horizontal="right" vertical="center" wrapText="1"/>
      <protection locked="0"/>
    </xf>
    <xf numFmtId="167" fontId="41" fillId="0" borderId="0" xfId="0" applyNumberFormat="1" applyFont="1"/>
    <xf numFmtId="167" fontId="33" fillId="0" borderId="0" xfId="0" applyNumberFormat="1" applyFont="1" applyProtection="1">
      <protection locked="0"/>
    </xf>
    <xf numFmtId="9" fontId="33" fillId="0" borderId="0" xfId="34" applyFont="1" applyProtection="1">
      <protection locked="0"/>
    </xf>
    <xf numFmtId="3" fontId="9" fillId="26" borderId="1" xfId="3" applyNumberFormat="1" applyFont="1" applyFill="1" applyBorder="1" applyAlignment="1" applyProtection="1">
      <alignment horizontal="right" vertical="center"/>
      <protection locked="0"/>
    </xf>
    <xf numFmtId="3" fontId="36" fillId="26" borderId="1" xfId="0" applyNumberFormat="1" applyFont="1" applyFill="1" applyBorder="1" applyAlignment="1" applyProtection="1">
      <alignment horizontal="right" wrapText="1" readingOrder="1"/>
      <protection locked="0"/>
    </xf>
    <xf numFmtId="0" fontId="51" fillId="0" borderId="0" xfId="0" applyFont="1"/>
    <xf numFmtId="0" fontId="31" fillId="0" borderId="0" xfId="0" applyFont="1"/>
    <xf numFmtId="4" fontId="31" fillId="0" borderId="0" xfId="0" applyNumberFormat="1" applyFont="1"/>
    <xf numFmtId="0" fontId="40" fillId="0" borderId="7" xfId="0" applyFont="1" applyBorder="1" applyAlignment="1">
      <alignment vertical="center" textRotation="90"/>
    </xf>
    <xf numFmtId="0" fontId="40" fillId="0" borderId="26" xfId="0" applyFont="1" applyBorder="1"/>
    <xf numFmtId="0" fontId="40" fillId="0" borderId="24" xfId="0" applyFont="1" applyBorder="1"/>
    <xf numFmtId="0" fontId="40" fillId="0" borderId="1" xfId="0" applyFont="1" applyBorder="1" applyAlignment="1">
      <alignment horizontal="left" vertical="center"/>
    </xf>
    <xf numFmtId="0" fontId="40" fillId="0" borderId="2" xfId="0" applyFont="1" applyBorder="1" applyAlignment="1">
      <alignment vertical="center" textRotation="90" wrapText="1"/>
    </xf>
    <xf numFmtId="0" fontId="40" fillId="0" borderId="7" xfId="0" applyFont="1" applyBorder="1" applyAlignment="1">
      <alignment vertical="center" textRotation="90" wrapText="1"/>
    </xf>
    <xf numFmtId="3" fontId="32" fillId="3" borderId="1" xfId="11" applyNumberFormat="1" applyFont="1" applyFill="1" applyBorder="1" applyAlignment="1" applyProtection="1">
      <alignment horizontal="center" vertical="center" wrapText="1"/>
    </xf>
    <xf numFmtId="0" fontId="41" fillId="32" borderId="1" xfId="0" applyFont="1" applyFill="1" applyBorder="1" applyAlignment="1">
      <alignment horizontal="center" vertical="center"/>
    </xf>
    <xf numFmtId="0" fontId="40" fillId="32" borderId="1" xfId="0" applyFont="1" applyFill="1" applyBorder="1" applyAlignment="1">
      <alignment vertical="center" wrapText="1"/>
    </xf>
    <xf numFmtId="0" fontId="41" fillId="32" borderId="1" xfId="0" applyFont="1" applyFill="1" applyBorder="1" applyAlignment="1">
      <alignment horizontal="center" vertical="center" wrapText="1"/>
    </xf>
    <xf numFmtId="0" fontId="40" fillId="32" borderId="1" xfId="0" applyFont="1" applyFill="1" applyBorder="1" applyAlignment="1">
      <alignment horizontal="center" vertical="center" wrapText="1"/>
    </xf>
    <xf numFmtId="0" fontId="40" fillId="32" borderId="1" xfId="0" applyFont="1" applyFill="1" applyBorder="1" applyAlignment="1">
      <alignment horizontal="center" vertical="center"/>
    </xf>
    <xf numFmtId="3" fontId="41" fillId="32" borderId="1" xfId="0" applyNumberFormat="1" applyFont="1" applyFill="1" applyBorder="1" applyAlignment="1">
      <alignment horizontal="right" vertical="center" wrapText="1"/>
    </xf>
    <xf numFmtId="167" fontId="81" fillId="33" borderId="0" xfId="2" applyFont="1" applyFill="1" applyAlignment="1">
      <alignment horizontal="center"/>
    </xf>
    <xf numFmtId="167" fontId="0" fillId="0" borderId="1" xfId="2" applyFont="1" applyBorder="1"/>
    <xf numFmtId="3" fontId="3" fillId="0" borderId="0" xfId="0" applyNumberFormat="1" applyFont="1" applyAlignment="1">
      <alignment horizontal="right" vertical="center"/>
    </xf>
    <xf numFmtId="3" fontId="32" fillId="3" borderId="1" xfId="0" applyNumberFormat="1" applyFont="1" applyFill="1" applyBorder="1" applyAlignment="1">
      <alignment vertical="center" wrapText="1"/>
    </xf>
    <xf numFmtId="0" fontId="32" fillId="3" borderId="1" xfId="0" applyFont="1" applyFill="1" applyBorder="1" applyAlignment="1">
      <alignment vertical="center" wrapText="1"/>
    </xf>
    <xf numFmtId="167" fontId="31" fillId="0" borderId="1" xfId="2" applyFont="1" applyBorder="1"/>
    <xf numFmtId="167" fontId="31" fillId="0" borderId="0" xfId="2" applyFont="1"/>
    <xf numFmtId="167" fontId="51" fillId="0" borderId="1" xfId="2" applyFont="1" applyBorder="1" applyAlignment="1">
      <alignment horizontal="center"/>
    </xf>
    <xf numFmtId="167" fontId="51" fillId="0" borderId="1" xfId="2" applyFont="1" applyBorder="1"/>
    <xf numFmtId="178" fontId="31" fillId="0" borderId="1" xfId="2" applyNumberFormat="1" applyFont="1" applyBorder="1"/>
    <xf numFmtId="178" fontId="31" fillId="0" borderId="0" xfId="2" applyNumberFormat="1" applyFont="1"/>
    <xf numFmtId="178" fontId="51" fillId="0" borderId="1" xfId="2" applyNumberFormat="1" applyFont="1" applyBorder="1" applyAlignment="1">
      <alignment horizontal="center"/>
    </xf>
    <xf numFmtId="178" fontId="51" fillId="0" borderId="1" xfId="2" applyNumberFormat="1" applyFont="1" applyBorder="1"/>
    <xf numFmtId="178" fontId="40" fillId="32" borderId="5" xfId="2" applyNumberFormat="1" applyFont="1" applyFill="1" applyBorder="1" applyAlignment="1">
      <alignment vertical="center"/>
    </xf>
    <xf numFmtId="3" fontId="32" fillId="3" borderId="1" xfId="11" applyNumberFormat="1" applyFont="1" applyFill="1" applyBorder="1" applyAlignment="1" applyProtection="1">
      <alignment horizontal="right" vertical="center" wrapText="1"/>
    </xf>
    <xf numFmtId="3" fontId="0" fillId="0" borderId="1" xfId="2" applyNumberFormat="1" applyFont="1" applyBorder="1"/>
    <xf numFmtId="3" fontId="31" fillId="0" borderId="2" xfId="2" applyNumberFormat="1" applyFont="1" applyBorder="1"/>
    <xf numFmtId="178" fontId="51" fillId="0" borderId="2" xfId="2" applyNumberFormat="1" applyFont="1" applyBorder="1" applyAlignment="1">
      <alignment horizontal="right"/>
    </xf>
    <xf numFmtId="178" fontId="51" fillId="0" borderId="2" xfId="2" applyNumberFormat="1" applyFont="1" applyFill="1" applyBorder="1"/>
    <xf numFmtId="178" fontId="51" fillId="0" borderId="2" xfId="2" applyNumberFormat="1" applyFont="1" applyBorder="1"/>
    <xf numFmtId="3" fontId="33" fillId="28" borderId="1" xfId="11" applyNumberFormat="1" applyFont="1" applyFill="1" applyBorder="1" applyAlignment="1" applyProtection="1">
      <alignment horizontal="right" vertical="center" wrapText="1"/>
    </xf>
    <xf numFmtId="9" fontId="33" fillId="28" borderId="2" xfId="0" applyNumberFormat="1" applyFont="1" applyFill="1" applyBorder="1" applyAlignment="1" applyProtection="1">
      <alignment vertical="center" wrapText="1"/>
      <protection locked="0"/>
    </xf>
    <xf numFmtId="3" fontId="33" fillId="0" borderId="1" xfId="0" applyNumberFormat="1" applyFont="1" applyBorder="1" applyAlignment="1">
      <alignment horizontal="right"/>
    </xf>
    <xf numFmtId="180" fontId="17" fillId="0" borderId="0" xfId="0" applyNumberFormat="1" applyFont="1" applyAlignment="1" applyProtection="1">
      <alignment horizontal="right" vertical="center" wrapText="1"/>
      <protection locked="0"/>
    </xf>
    <xf numFmtId="0" fontId="0" fillId="9" borderId="0" xfId="2" applyNumberFormat="1" applyFont="1" applyFill="1"/>
    <xf numFmtId="0" fontId="0" fillId="7" borderId="0" xfId="0" applyFill="1"/>
    <xf numFmtId="0" fontId="0" fillId="7" borderId="1" xfId="0" applyFill="1" applyBorder="1"/>
    <xf numFmtId="0" fontId="40" fillId="7" borderId="1" xfId="0" applyFont="1" applyFill="1" applyBorder="1"/>
    <xf numFmtId="0" fontId="40" fillId="0" borderId="5" xfId="0" applyFont="1" applyBorder="1" applyAlignment="1">
      <alignment horizontal="center" textRotation="45"/>
    </xf>
    <xf numFmtId="0" fontId="0" fillId="7" borderId="1" xfId="0" applyFill="1" applyBorder="1" applyAlignment="1">
      <alignment horizontal="right"/>
    </xf>
    <xf numFmtId="0" fontId="49" fillId="0" borderId="7" xfId="0" applyFont="1" applyBorder="1" applyAlignment="1">
      <alignment vertical="center" textRotation="90" wrapText="1"/>
    </xf>
    <xf numFmtId="167" fontId="84" fillId="0" borderId="0" xfId="2" applyFont="1"/>
    <xf numFmtId="178" fontId="31" fillId="0" borderId="1" xfId="2" applyNumberFormat="1" applyFont="1" applyBorder="1" applyAlignment="1">
      <alignment horizontal="right"/>
    </xf>
    <xf numFmtId="167" fontId="0" fillId="7" borderId="1" xfId="2" applyFont="1" applyFill="1" applyBorder="1" applyAlignment="1">
      <alignment horizontal="right"/>
    </xf>
    <xf numFmtId="0" fontId="33" fillId="23" borderId="0" xfId="0" applyFont="1" applyFill="1"/>
    <xf numFmtId="0" fontId="32" fillId="23" borderId="0" xfId="0" applyFont="1" applyFill="1"/>
    <xf numFmtId="0" fontId="33" fillId="23" borderId="0" xfId="0" applyFont="1" applyFill="1" applyAlignment="1">
      <alignment vertical="center"/>
    </xf>
    <xf numFmtId="0" fontId="32" fillId="23" borderId="0" xfId="0" applyFont="1" applyFill="1" applyAlignment="1">
      <alignment horizontal="center" vertical="center" wrapText="1"/>
    </xf>
    <xf numFmtId="0" fontId="9" fillId="23" borderId="0" xfId="0" applyFont="1" applyFill="1"/>
    <xf numFmtId="0" fontId="51" fillId="3" borderId="1" xfId="0" applyFont="1" applyFill="1" applyBorder="1" applyAlignment="1">
      <alignment horizontal="center" vertical="center" wrapText="1"/>
    </xf>
    <xf numFmtId="0" fontId="51" fillId="3" borderId="1" xfId="0" applyFont="1" applyFill="1" applyBorder="1" applyAlignment="1">
      <alignment horizontal="center" vertical="center"/>
    </xf>
    <xf numFmtId="0" fontId="31" fillId="23" borderId="0" xfId="0" applyFont="1" applyFill="1"/>
    <xf numFmtId="16" fontId="31" fillId="23" borderId="1" xfId="0" applyNumberFormat="1" applyFont="1" applyFill="1" applyBorder="1" applyAlignment="1">
      <alignment horizontal="center"/>
    </xf>
    <xf numFmtId="183" fontId="31" fillId="23" borderId="1" xfId="0" applyNumberFormat="1" applyFont="1" applyFill="1" applyBorder="1"/>
    <xf numFmtId="0" fontId="31" fillId="23" borderId="1" xfId="0" applyFont="1" applyFill="1" applyBorder="1" applyAlignment="1">
      <alignment horizontal="center"/>
    </xf>
    <xf numFmtId="16" fontId="33" fillId="23" borderId="0" xfId="0" applyNumberFormat="1" applyFont="1" applyFill="1" applyAlignment="1">
      <alignment horizontal="center"/>
    </xf>
    <xf numFmtId="183" fontId="33" fillId="23" borderId="0" xfId="0" applyNumberFormat="1" applyFont="1" applyFill="1"/>
    <xf numFmtId="0" fontId="33" fillId="23" borderId="0" xfId="0" applyFont="1" applyFill="1" applyAlignment="1">
      <alignment horizontal="center"/>
    </xf>
    <xf numFmtId="184" fontId="0" fillId="7" borderId="1" xfId="0" applyNumberFormat="1" applyFill="1" applyBorder="1" applyAlignment="1">
      <alignment horizontal="right"/>
    </xf>
    <xf numFmtId="49" fontId="0" fillId="0" borderId="1" xfId="0" applyNumberFormat="1" applyBorder="1"/>
    <xf numFmtId="167" fontId="86" fillId="0" borderId="0" xfId="2" applyFont="1"/>
    <xf numFmtId="0" fontId="87" fillId="7" borderId="0" xfId="0" applyFont="1" applyFill="1"/>
    <xf numFmtId="3" fontId="51" fillId="6" borderId="6" xfId="0" applyNumberFormat="1" applyFont="1" applyFill="1" applyBorder="1" applyAlignment="1">
      <alignment horizontal="center" vertical="center" wrapText="1"/>
    </xf>
    <xf numFmtId="0" fontId="88" fillId="34" borderId="6" xfId="0" applyFont="1" applyFill="1" applyBorder="1" applyAlignment="1">
      <alignment horizontal="center" vertical="center" wrapText="1"/>
    </xf>
    <xf numFmtId="185" fontId="88" fillId="34" borderId="6" xfId="1" applyNumberFormat="1" applyFont="1" applyFill="1" applyBorder="1" applyAlignment="1" applyProtection="1">
      <alignment horizontal="center" vertical="center" wrapText="1"/>
    </xf>
    <xf numFmtId="0" fontId="33" fillId="35" borderId="67" xfId="0" applyFont="1" applyFill="1" applyBorder="1" applyAlignment="1">
      <alignment horizontal="center" vertical="center" wrapText="1"/>
    </xf>
    <xf numFmtId="10" fontId="33" fillId="35" borderId="67" xfId="0" applyNumberFormat="1" applyFont="1" applyFill="1" applyBorder="1" applyAlignment="1" applyProtection="1">
      <alignment horizontal="center" vertical="center" wrapText="1"/>
      <protection locked="0"/>
    </xf>
    <xf numFmtId="178" fontId="33" fillId="0" borderId="67" xfId="1" applyNumberFormat="1" applyFont="1" applyFill="1" applyBorder="1" applyAlignment="1" applyProtection="1">
      <alignment horizontal="right" vertical="center" wrapText="1"/>
      <protection locked="0"/>
    </xf>
    <xf numFmtId="178" fontId="33" fillId="35" borderId="67" xfId="1" applyNumberFormat="1" applyFont="1" applyFill="1" applyBorder="1" applyAlignment="1" applyProtection="1">
      <alignment horizontal="right" vertical="center" wrapText="1"/>
      <protection locked="0"/>
    </xf>
    <xf numFmtId="178" fontId="33" fillId="35" borderId="67" xfId="0" applyNumberFormat="1" applyFont="1" applyFill="1" applyBorder="1" applyAlignment="1" applyProtection="1">
      <alignment horizontal="right" vertical="center" wrapText="1"/>
      <protection locked="0"/>
    </xf>
    <xf numFmtId="0" fontId="33" fillId="35" borderId="67" xfId="0" applyFont="1" applyFill="1" applyBorder="1" applyAlignment="1">
      <alignment horizontal="left" vertical="center" wrapText="1"/>
    </xf>
    <xf numFmtId="10" fontId="33" fillId="35" borderId="67" xfId="34" applyNumberFormat="1" applyFont="1" applyFill="1" applyBorder="1" applyAlignment="1" applyProtection="1">
      <alignment horizontal="center" vertical="center" wrapText="1"/>
      <protection locked="0"/>
    </xf>
    <xf numFmtId="0" fontId="33" fillId="35" borderId="67" xfId="0" applyFont="1" applyFill="1" applyBorder="1" applyAlignment="1" applyProtection="1">
      <alignment horizontal="left" vertical="center" wrapText="1"/>
      <protection locked="0"/>
    </xf>
    <xf numFmtId="0" fontId="33" fillId="35" borderId="67" xfId="0" applyFont="1" applyFill="1" applyBorder="1" applyAlignment="1" applyProtection="1">
      <alignment horizontal="center" vertical="center" wrapText="1"/>
      <protection locked="0"/>
    </xf>
    <xf numFmtId="178" fontId="51" fillId="35" borderId="67" xfId="0" applyNumberFormat="1" applyFont="1" applyFill="1" applyBorder="1" applyAlignment="1" applyProtection="1">
      <alignment horizontal="right" vertical="center" wrapText="1"/>
      <protection locked="0"/>
    </xf>
    <xf numFmtId="3" fontId="51" fillId="6" borderId="22" xfId="0" applyNumberFormat="1" applyFont="1" applyFill="1" applyBorder="1" applyAlignment="1">
      <alignment horizontal="center" vertical="center" wrapText="1"/>
    </xf>
    <xf numFmtId="167" fontId="33" fillId="0" borderId="0" xfId="2" applyFont="1"/>
    <xf numFmtId="9" fontId="75" fillId="0" borderId="0" xfId="34" applyFont="1" applyAlignment="1">
      <alignment horizontal="justify" vertical="center" wrapText="1"/>
    </xf>
    <xf numFmtId="167" fontId="75" fillId="0" borderId="0" xfId="2" applyFont="1" applyAlignment="1">
      <alignment horizontal="justify" vertical="center" wrapText="1"/>
    </xf>
    <xf numFmtId="14" fontId="75" fillId="0" borderId="0" xfId="2" applyNumberFormat="1" applyFont="1" applyAlignment="1">
      <alignment horizontal="justify" vertical="center" wrapText="1"/>
    </xf>
    <xf numFmtId="9" fontId="33" fillId="0" borderId="0" xfId="34" applyFont="1"/>
    <xf numFmtId="0" fontId="33" fillId="36" borderId="0" xfId="0" applyFont="1" applyFill="1"/>
    <xf numFmtId="3" fontId="75" fillId="0" borderId="0" xfId="0" applyNumberFormat="1" applyFont="1" applyAlignment="1">
      <alignment horizontal="justify" vertical="center"/>
    </xf>
    <xf numFmtId="167" fontId="75" fillId="0" borderId="0" xfId="2" applyFont="1" applyAlignment="1">
      <alignment horizontal="justify" vertical="center"/>
    </xf>
    <xf numFmtId="9" fontId="75" fillId="0" borderId="0" xfId="34" applyFont="1" applyAlignment="1">
      <alignment horizontal="justify" vertical="center"/>
    </xf>
    <xf numFmtId="9" fontId="33" fillId="0" borderId="0" xfId="34" applyFont="1" applyAlignment="1"/>
    <xf numFmtId="14" fontId="75" fillId="0" borderId="0" xfId="2" applyNumberFormat="1" applyFont="1" applyAlignment="1">
      <alignment horizontal="justify" vertical="center"/>
    </xf>
    <xf numFmtId="0" fontId="31" fillId="0" borderId="67" xfId="0" applyFont="1" applyBorder="1" applyAlignment="1">
      <alignment horizontal="left" vertical="center" wrapText="1"/>
    </xf>
    <xf numFmtId="3" fontId="31" fillId="0" borderId="67" xfId="0" applyNumberFormat="1" applyFont="1" applyBorder="1" applyProtection="1">
      <protection locked="0"/>
    </xf>
    <xf numFmtId="180" fontId="31" fillId="0" borderId="67" xfId="0" applyNumberFormat="1" applyFont="1" applyBorder="1" applyProtection="1">
      <protection locked="0"/>
    </xf>
    <xf numFmtId="0" fontId="78" fillId="0" borderId="67" xfId="0" applyFont="1" applyBorder="1" applyAlignment="1">
      <alignment horizontal="left" vertical="center" wrapText="1"/>
    </xf>
    <xf numFmtId="174" fontId="31" fillId="0" borderId="67" xfId="14" applyNumberFormat="1" applyFont="1" applyFill="1" applyBorder="1" applyProtection="1"/>
    <xf numFmtId="3" fontId="31" fillId="0" borderId="67" xfId="0" applyNumberFormat="1" applyFont="1" applyBorder="1" applyAlignment="1" applyProtection="1">
      <alignment vertical="center"/>
      <protection locked="0"/>
    </xf>
    <xf numFmtId="3" fontId="31" fillId="0" borderId="67" xfId="0" applyNumberFormat="1" applyFont="1" applyBorder="1" applyAlignment="1" applyProtection="1">
      <alignment horizontal="center"/>
      <protection locked="0"/>
    </xf>
    <xf numFmtId="4" fontId="31" fillId="0" borderId="67" xfId="0" applyNumberFormat="1" applyFont="1" applyBorder="1" applyAlignment="1">
      <alignment horizontal="center" vertical="center"/>
    </xf>
    <xf numFmtId="3" fontId="32" fillId="28" borderId="1" xfId="11" applyNumberFormat="1" applyFont="1" applyFill="1" applyBorder="1" applyAlignment="1" applyProtection="1">
      <alignment horizontal="right" vertical="center" wrapText="1"/>
    </xf>
    <xf numFmtId="3" fontId="33" fillId="37" borderId="1" xfId="0" applyNumberFormat="1" applyFont="1" applyFill="1" applyBorder="1" applyProtection="1">
      <protection locked="0"/>
    </xf>
    <xf numFmtId="167" fontId="41" fillId="0" borderId="0" xfId="2" applyFont="1"/>
    <xf numFmtId="183" fontId="31" fillId="26" borderId="1" xfId="0" applyNumberFormat="1" applyFont="1" applyFill="1" applyBorder="1"/>
    <xf numFmtId="0" fontId="33" fillId="35" borderId="68" xfId="0" applyFont="1" applyFill="1" applyBorder="1" applyAlignment="1" applyProtection="1">
      <alignment horizontal="center" vertical="center" wrapText="1"/>
      <protection locked="0"/>
    </xf>
    <xf numFmtId="0" fontId="32" fillId="38" borderId="1" xfId="0" applyFont="1" applyFill="1" applyBorder="1" applyAlignment="1">
      <alignment horizontal="center" vertical="center" wrapText="1"/>
    </xf>
    <xf numFmtId="4" fontId="33" fillId="0" borderId="1" xfId="0" applyNumberFormat="1" applyFont="1" applyBorder="1"/>
    <xf numFmtId="4" fontId="33" fillId="0" borderId="1" xfId="0" applyNumberFormat="1" applyFont="1" applyBorder="1" applyAlignment="1">
      <alignment horizontal="center" vertical="center"/>
    </xf>
    <xf numFmtId="0" fontId="33" fillId="0" borderId="1" xfId="0" applyFont="1" applyBorder="1" applyAlignment="1">
      <alignment horizontal="center" vertical="center"/>
    </xf>
    <xf numFmtId="178" fontId="20" fillId="0" borderId="0" xfId="0" applyNumberFormat="1" applyFont="1"/>
    <xf numFmtId="0" fontId="33" fillId="32" borderId="1" xfId="0" applyFont="1" applyFill="1" applyBorder="1" applyAlignment="1">
      <alignment horizontal="center" vertical="center"/>
    </xf>
    <xf numFmtId="2" fontId="33" fillId="0" borderId="1" xfId="0" applyNumberFormat="1" applyFont="1" applyBorder="1"/>
    <xf numFmtId="2" fontId="33" fillId="0" borderId="1" xfId="0" applyNumberFormat="1" applyFont="1" applyBorder="1" applyAlignment="1">
      <alignment horizontal="center" vertical="center"/>
    </xf>
    <xf numFmtId="0" fontId="16" fillId="5" borderId="2"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16" fillId="0" borderId="2" xfId="0" applyFont="1" applyBorder="1" applyAlignment="1">
      <alignment horizontal="left"/>
    </xf>
    <xf numFmtId="0" fontId="16" fillId="0" borderId="5" xfId="0" applyFont="1" applyBorder="1" applyAlignment="1">
      <alignment horizontal="left"/>
    </xf>
    <xf numFmtId="0" fontId="3" fillId="7" borderId="5" xfId="0" applyFont="1" applyFill="1" applyBorder="1" applyAlignment="1">
      <alignment horizontal="center" vertical="center" textRotation="90"/>
    </xf>
    <xf numFmtId="0" fontId="33" fillId="23" borderId="2" xfId="0" applyFont="1" applyFill="1" applyBorder="1" applyAlignment="1">
      <alignment horizontal="left" vertical="top" wrapText="1"/>
    </xf>
    <xf numFmtId="0" fontId="33" fillId="23" borderId="7" xfId="0" applyFont="1" applyFill="1" applyBorder="1" applyAlignment="1">
      <alignment horizontal="left" vertical="top" wrapText="1"/>
    </xf>
    <xf numFmtId="0" fontId="33" fillId="0" borderId="2" xfId="0" applyFont="1" applyBorder="1" applyAlignment="1">
      <alignment horizontal="left" vertical="top" wrapText="1"/>
    </xf>
    <xf numFmtId="0" fontId="33" fillId="0" borderId="5" xfId="0" applyFont="1" applyBorder="1" applyAlignment="1">
      <alignment horizontal="left" vertical="top" wrapText="1"/>
    </xf>
    <xf numFmtId="0" fontId="6" fillId="5" borderId="17" xfId="11" applyFill="1" applyBorder="1" applyAlignment="1" applyProtection="1">
      <alignment horizontal="center" vertical="center" textRotation="90" wrapText="1"/>
    </xf>
    <xf numFmtId="0" fontId="6" fillId="5" borderId="4" xfId="11" applyFill="1" applyBorder="1" applyAlignment="1" applyProtection="1">
      <alignment horizontal="center" vertical="center" textRotation="90" wrapText="1"/>
    </xf>
    <xf numFmtId="0" fontId="42" fillId="15" borderId="0" xfId="0" applyFont="1" applyFill="1" applyAlignment="1">
      <alignment horizontal="center" vertical="center"/>
    </xf>
    <xf numFmtId="0" fontId="32" fillId="0" borderId="0" xfId="0" applyFont="1" applyAlignment="1">
      <alignment horizontal="center" vertical="center"/>
    </xf>
    <xf numFmtId="0" fontId="16" fillId="23" borderId="0" xfId="0" applyFont="1" applyFill="1" applyAlignment="1">
      <alignment horizontal="center" vertical="center" wrapText="1"/>
    </xf>
    <xf numFmtId="3" fontId="40" fillId="32" borderId="1" xfId="0" applyNumberFormat="1" applyFont="1" applyFill="1" applyBorder="1" applyAlignment="1">
      <alignment horizontal="right" vertical="center" wrapText="1"/>
    </xf>
    <xf numFmtId="3" fontId="41" fillId="0" borderId="1" xfId="0" applyNumberFormat="1" applyFont="1" applyBorder="1" applyAlignment="1">
      <alignment horizontal="right" vertical="center" wrapText="1"/>
    </xf>
    <xf numFmtId="0" fontId="41" fillId="0" borderId="1" xfId="0" applyFont="1" applyBorder="1" applyAlignment="1">
      <alignment horizontal="right" vertical="center" wrapText="1"/>
    </xf>
    <xf numFmtId="0" fontId="40" fillId="0" borderId="1" xfId="0" applyFont="1" applyBorder="1" applyAlignment="1">
      <alignment horizontal="center" vertical="center" textRotation="90" wrapText="1"/>
    </xf>
    <xf numFmtId="3" fontId="41" fillId="17" borderId="2" xfId="0" applyNumberFormat="1" applyFont="1" applyFill="1" applyBorder="1" applyAlignment="1">
      <alignment horizontal="right" vertical="center"/>
    </xf>
    <xf numFmtId="3" fontId="41" fillId="17" borderId="7" xfId="0" applyNumberFormat="1" applyFont="1" applyFill="1" applyBorder="1" applyAlignment="1">
      <alignment horizontal="right" vertical="center"/>
    </xf>
    <xf numFmtId="3" fontId="41" fillId="17" borderId="5" xfId="0" applyNumberFormat="1" applyFont="1" applyFill="1" applyBorder="1" applyAlignment="1">
      <alignment horizontal="right" vertical="center"/>
    </xf>
    <xf numFmtId="3" fontId="41" fillId="17" borderId="1" xfId="0" applyNumberFormat="1" applyFont="1" applyFill="1" applyBorder="1" applyAlignment="1">
      <alignment horizontal="right"/>
    </xf>
    <xf numFmtId="3" fontId="41" fillId="17" borderId="2" xfId="0" applyNumberFormat="1" applyFont="1" applyFill="1" applyBorder="1" applyAlignment="1">
      <alignment horizontal="right"/>
    </xf>
    <xf numFmtId="0" fontId="41" fillId="17" borderId="2" xfId="0" applyFont="1" applyFill="1" applyBorder="1" applyAlignment="1">
      <alignment horizontal="left" vertical="center" wrapText="1"/>
    </xf>
    <xf numFmtId="0" fontId="41" fillId="17" borderId="7" xfId="0" applyFont="1" applyFill="1" applyBorder="1" applyAlignment="1">
      <alignment horizontal="left" vertical="center" wrapText="1"/>
    </xf>
    <xf numFmtId="0" fontId="41" fillId="17" borderId="5" xfId="0" applyFont="1" applyFill="1" applyBorder="1" applyAlignment="1">
      <alignment horizontal="left" vertical="center" wrapText="1"/>
    </xf>
    <xf numFmtId="0" fontId="41" fillId="0" borderId="2" xfId="0" applyFont="1" applyBorder="1" applyAlignment="1">
      <alignment horizontal="left" vertical="center" wrapText="1"/>
    </xf>
    <xf numFmtId="0" fontId="41" fillId="0" borderId="7" xfId="0" applyFont="1" applyBorder="1" applyAlignment="1">
      <alignment horizontal="left" vertical="center" wrapText="1"/>
    </xf>
    <xf numFmtId="0" fontId="41" fillId="0" borderId="5" xfId="0" applyFont="1" applyBorder="1" applyAlignment="1">
      <alignment horizontal="left" vertical="center" wrapText="1"/>
    </xf>
    <xf numFmtId="0" fontId="40" fillId="17" borderId="2" xfId="0" applyFont="1" applyFill="1" applyBorder="1" applyAlignment="1">
      <alignment horizontal="left" vertical="center" wrapText="1"/>
    </xf>
    <xf numFmtId="0" fontId="40" fillId="17" borderId="7" xfId="0" applyFont="1" applyFill="1" applyBorder="1" applyAlignment="1">
      <alignment horizontal="left" vertical="center" wrapText="1"/>
    </xf>
    <xf numFmtId="0" fontId="40" fillId="17" borderId="5" xfId="0" applyFont="1" applyFill="1" applyBorder="1" applyAlignment="1">
      <alignment horizontal="left" vertical="center" wrapText="1"/>
    </xf>
    <xf numFmtId="0" fontId="40" fillId="0" borderId="2" xfId="0" applyFont="1" applyBorder="1" applyAlignment="1">
      <alignment horizontal="left" vertical="center" wrapText="1"/>
    </xf>
    <xf numFmtId="0" fontId="40" fillId="0" borderId="7" xfId="0" applyFont="1" applyBorder="1" applyAlignment="1">
      <alignment horizontal="left" vertical="center" wrapText="1"/>
    </xf>
    <xf numFmtId="0" fontId="40" fillId="0" borderId="5" xfId="0" applyFont="1" applyBorder="1" applyAlignment="1">
      <alignment horizontal="left" vertical="center" wrapText="1"/>
    </xf>
    <xf numFmtId="3" fontId="40" fillId="0" borderId="2" xfId="0" applyNumberFormat="1" applyFont="1" applyBorder="1" applyAlignment="1">
      <alignment horizontal="right" vertical="center"/>
    </xf>
    <xf numFmtId="3" fontId="40" fillId="0" borderId="7" xfId="0" applyNumberFormat="1" applyFont="1" applyBorder="1" applyAlignment="1">
      <alignment horizontal="right" vertical="center"/>
    </xf>
    <xf numFmtId="3" fontId="40" fillId="0" borderId="5" xfId="0" applyNumberFormat="1" applyFont="1" applyBorder="1" applyAlignment="1">
      <alignment horizontal="right" vertical="center"/>
    </xf>
    <xf numFmtId="3" fontId="40" fillId="0" borderId="1" xfId="0" applyNumberFormat="1" applyFont="1" applyBorder="1" applyAlignment="1">
      <alignment horizontal="right"/>
    </xf>
    <xf numFmtId="3" fontId="40" fillId="0" borderId="2" xfId="0" applyNumberFormat="1" applyFont="1" applyBorder="1" applyAlignment="1">
      <alignment horizontal="right"/>
    </xf>
    <xf numFmtId="3" fontId="40" fillId="0" borderId="1" xfId="0" applyNumberFormat="1" applyFont="1" applyBorder="1" applyAlignment="1">
      <alignment horizontal="right" vertical="center" wrapText="1"/>
    </xf>
    <xf numFmtId="0" fontId="41" fillId="0" borderId="1" xfId="0" applyFont="1" applyBorder="1" applyAlignment="1">
      <alignment horizontal="left" vertical="center" wrapText="1"/>
    </xf>
    <xf numFmtId="0" fontId="40" fillId="17" borderId="1" xfId="0" applyFont="1" applyFill="1" applyBorder="1" applyAlignment="1">
      <alignment horizontal="left" vertical="center" wrapText="1"/>
    </xf>
    <xf numFmtId="0" fontId="40" fillId="0" borderId="2" xfId="0" applyFont="1" applyBorder="1" applyAlignment="1">
      <alignment horizontal="center" vertical="center"/>
    </xf>
    <xf numFmtId="0" fontId="40" fillId="0" borderId="7" xfId="0" applyFont="1" applyBorder="1" applyAlignment="1">
      <alignment horizontal="center" vertical="center"/>
    </xf>
    <xf numFmtId="0" fontId="40" fillId="0" borderId="5" xfId="0" applyFont="1" applyBorder="1" applyAlignment="1">
      <alignment horizontal="center" vertical="center"/>
    </xf>
    <xf numFmtId="3" fontId="41" fillId="17" borderId="2" xfId="2" applyNumberFormat="1" applyFont="1" applyFill="1" applyBorder="1" applyAlignment="1">
      <alignment horizontal="right"/>
    </xf>
    <xf numFmtId="3" fontId="41" fillId="17" borderId="7" xfId="2" applyNumberFormat="1" applyFont="1" applyFill="1" applyBorder="1" applyAlignment="1">
      <alignment horizontal="right"/>
    </xf>
    <xf numFmtId="3" fontId="41" fillId="17" borderId="5" xfId="2" applyNumberFormat="1" applyFont="1" applyFill="1" applyBorder="1" applyAlignment="1">
      <alignment horizontal="right"/>
    </xf>
    <xf numFmtId="3" fontId="40" fillId="0" borderId="1" xfId="2" applyNumberFormat="1" applyFont="1" applyBorder="1" applyAlignment="1">
      <alignment horizontal="right"/>
    </xf>
    <xf numFmtId="3" fontId="40" fillId="17" borderId="1" xfId="2" applyNumberFormat="1" applyFont="1" applyFill="1" applyBorder="1" applyAlignment="1">
      <alignment horizontal="right"/>
    </xf>
    <xf numFmtId="0" fontId="33" fillId="0" borderId="17" xfId="0" applyFont="1" applyBorder="1" applyAlignment="1">
      <alignment horizontal="right" vertical="center" wrapText="1"/>
    </xf>
    <xf numFmtId="0" fontId="33" fillId="0" borderId="0" xfId="0" applyFont="1" applyAlignment="1">
      <alignment horizontal="right" vertical="center" wrapText="1"/>
    </xf>
    <xf numFmtId="0" fontId="33" fillId="0" borderId="25" xfId="0" applyFont="1" applyBorder="1" applyAlignment="1">
      <alignment horizontal="right" vertical="center" wrapText="1"/>
    </xf>
    <xf numFmtId="0" fontId="33" fillId="0" borderId="4" xfId="0" applyFont="1" applyBorder="1" applyAlignment="1">
      <alignment horizontal="right" vertical="center" wrapText="1"/>
    </xf>
    <xf numFmtId="0" fontId="33" fillId="0" borderId="23" xfId="0" applyFont="1" applyBorder="1" applyAlignment="1">
      <alignment horizontal="right" vertical="center" wrapText="1"/>
    </xf>
    <xf numFmtId="0" fontId="33" fillId="0" borderId="16" xfId="0" applyFont="1" applyBorder="1" applyAlignment="1">
      <alignment horizontal="right" vertical="center" wrapText="1"/>
    </xf>
    <xf numFmtId="0" fontId="40" fillId="0" borderId="22" xfId="0" applyFont="1" applyBorder="1" applyAlignment="1">
      <alignment horizontal="left"/>
    </xf>
    <xf numFmtId="0" fontId="40" fillId="0" borderId="26" xfId="0" applyFont="1" applyBorder="1" applyAlignment="1">
      <alignment horizontal="left"/>
    </xf>
    <xf numFmtId="0" fontId="40" fillId="0" borderId="24" xfId="0" applyFont="1" applyBorder="1" applyAlignment="1">
      <alignment horizontal="left"/>
    </xf>
    <xf numFmtId="0" fontId="33" fillId="0" borderId="1" xfId="0" applyFont="1" applyBorder="1" applyAlignment="1">
      <alignment horizontal="right" vertical="center" wrapText="1"/>
    </xf>
    <xf numFmtId="0" fontId="40" fillId="0" borderId="1" xfId="0" applyFont="1" applyBorder="1" applyAlignment="1">
      <alignment horizontal="left" vertical="center"/>
    </xf>
    <xf numFmtId="0" fontId="40" fillId="0" borderId="1" xfId="0" applyFont="1" applyBorder="1" applyAlignment="1">
      <alignment horizontal="center" vertical="center"/>
    </xf>
    <xf numFmtId="3" fontId="41" fillId="17" borderId="1" xfId="0" applyNumberFormat="1" applyFont="1" applyFill="1" applyBorder="1"/>
    <xf numFmtId="3" fontId="41" fillId="17" borderId="1" xfId="1" applyNumberFormat="1" applyFont="1" applyFill="1" applyBorder="1" applyAlignment="1">
      <alignment horizontal="right" vertical="center"/>
    </xf>
    <xf numFmtId="3" fontId="41" fillId="0" borderId="1" xfId="0" applyNumberFormat="1" applyFont="1" applyBorder="1" applyAlignment="1">
      <alignment horizontal="right"/>
    </xf>
    <xf numFmtId="0" fontId="41" fillId="23" borderId="2" xfId="0" applyFont="1" applyFill="1" applyBorder="1" applyAlignment="1">
      <alignment horizontal="left" vertical="center" wrapText="1"/>
    </xf>
    <xf numFmtId="0" fontId="41" fillId="23" borderId="7" xfId="0" applyFont="1" applyFill="1" applyBorder="1" applyAlignment="1">
      <alignment horizontal="left" vertical="center" wrapText="1"/>
    </xf>
    <xf numFmtId="0" fontId="41" fillId="23" borderId="5" xfId="0" applyFont="1" applyFill="1" applyBorder="1" applyAlignment="1">
      <alignment horizontal="left" vertical="center" wrapText="1"/>
    </xf>
    <xf numFmtId="3" fontId="41" fillId="0" borderId="1" xfId="1" applyNumberFormat="1" applyFont="1" applyBorder="1" applyAlignment="1">
      <alignment horizontal="right" vertical="center"/>
    </xf>
    <xf numFmtId="3" fontId="41" fillId="17" borderId="2" xfId="0" applyNumberFormat="1" applyFont="1" applyFill="1" applyBorder="1"/>
    <xf numFmtId="0" fontId="41" fillId="27" borderId="1" xfId="0" applyFont="1" applyFill="1" applyBorder="1" applyAlignment="1">
      <alignment horizontal="center"/>
    </xf>
    <xf numFmtId="3" fontId="41" fillId="0" borderId="1" xfId="0" applyNumberFormat="1" applyFont="1" applyBorder="1"/>
    <xf numFmtId="0" fontId="41" fillId="27" borderId="22" xfId="0" applyFont="1" applyFill="1" applyBorder="1" applyAlignment="1">
      <alignment horizontal="center"/>
    </xf>
    <xf numFmtId="0" fontId="41" fillId="27" borderId="26" xfId="0" applyFont="1" applyFill="1" applyBorder="1" applyAlignment="1">
      <alignment horizontal="center"/>
    </xf>
    <xf numFmtId="3" fontId="40" fillId="17" borderId="2" xfId="0" applyNumberFormat="1" applyFont="1" applyFill="1" applyBorder="1" applyAlignment="1">
      <alignment horizontal="right"/>
    </xf>
    <xf numFmtId="3" fontId="40" fillId="17" borderId="7" xfId="0" applyNumberFormat="1" applyFont="1" applyFill="1" applyBorder="1" applyAlignment="1">
      <alignment horizontal="right"/>
    </xf>
    <xf numFmtId="3" fontId="40" fillId="17" borderId="5" xfId="0" applyNumberFormat="1" applyFont="1" applyFill="1" applyBorder="1" applyAlignment="1">
      <alignment horizontal="right"/>
    </xf>
    <xf numFmtId="3" fontId="40" fillId="0" borderId="2" xfId="2" applyNumberFormat="1" applyFont="1" applyBorder="1" applyAlignment="1">
      <alignment horizontal="right"/>
    </xf>
    <xf numFmtId="0" fontId="33" fillId="0" borderId="21" xfId="0" applyFont="1" applyBorder="1" applyAlignment="1">
      <alignment horizontal="center" vertical="center" wrapText="1"/>
    </xf>
    <xf numFmtId="0" fontId="33" fillId="0" borderId="3" xfId="0" applyFont="1" applyBorder="1" applyAlignment="1">
      <alignment horizontal="center" vertical="center" wrapText="1"/>
    </xf>
    <xf numFmtId="3" fontId="41" fillId="0" borderId="1" xfId="2" applyNumberFormat="1" applyFont="1" applyBorder="1" applyAlignment="1">
      <alignment horizontal="right" vertical="center"/>
    </xf>
    <xf numFmtId="3" fontId="41" fillId="17" borderId="1" xfId="2" applyNumberFormat="1" applyFont="1" applyFill="1" applyBorder="1" applyAlignment="1">
      <alignment horizontal="right" vertical="center"/>
    </xf>
    <xf numFmtId="0" fontId="40" fillId="0" borderId="22" xfId="0" applyFont="1" applyBorder="1" applyAlignment="1">
      <alignment horizontal="center" vertical="center" wrapText="1"/>
    </xf>
    <xf numFmtId="0" fontId="40" fillId="0" borderId="26"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7" xfId="0" applyFont="1" applyBorder="1" applyAlignment="1">
      <alignment horizontal="center" vertical="center" wrapText="1"/>
    </xf>
    <xf numFmtId="0" fontId="41" fillId="32" borderId="2" xfId="0" applyFont="1" applyFill="1" applyBorder="1" applyAlignment="1">
      <alignment horizontal="left" vertical="center" wrapText="1"/>
    </xf>
    <xf numFmtId="0" fontId="41" fillId="32" borderId="7" xfId="0" applyFont="1" applyFill="1" applyBorder="1" applyAlignment="1">
      <alignment horizontal="left" vertical="center" wrapText="1"/>
    </xf>
    <xf numFmtId="0" fontId="41" fillId="32" borderId="5" xfId="0" applyFont="1" applyFill="1" applyBorder="1" applyAlignment="1">
      <alignment horizontal="left" vertical="center" wrapText="1"/>
    </xf>
    <xf numFmtId="3" fontId="40" fillId="32" borderId="2" xfId="0" applyNumberFormat="1" applyFont="1" applyFill="1" applyBorder="1" applyAlignment="1">
      <alignment horizontal="right" vertical="center" wrapText="1"/>
    </xf>
    <xf numFmtId="3" fontId="40" fillId="32" borderId="7" xfId="0" applyNumberFormat="1" applyFont="1" applyFill="1" applyBorder="1" applyAlignment="1">
      <alignment horizontal="right" vertical="center" wrapText="1"/>
    </xf>
    <xf numFmtId="3" fontId="40" fillId="32" borderId="5" xfId="0" applyNumberFormat="1" applyFont="1" applyFill="1" applyBorder="1" applyAlignment="1">
      <alignment horizontal="right" vertical="center" wrapText="1"/>
    </xf>
    <xf numFmtId="0" fontId="41" fillId="17" borderId="1" xfId="0" applyFont="1" applyFill="1" applyBorder="1" applyAlignment="1">
      <alignment horizontal="left" vertical="center" wrapText="1"/>
    </xf>
    <xf numFmtId="3" fontId="40" fillId="17" borderId="2" xfId="0" applyNumberFormat="1" applyFont="1" applyFill="1" applyBorder="1" applyAlignment="1">
      <alignment horizontal="right" vertical="center"/>
    </xf>
    <xf numFmtId="3" fontId="40" fillId="17" borderId="7" xfId="0" applyNumberFormat="1" applyFont="1" applyFill="1" applyBorder="1" applyAlignment="1">
      <alignment horizontal="right" vertical="center"/>
    </xf>
    <xf numFmtId="3" fontId="40" fillId="17" borderId="5" xfId="0" applyNumberFormat="1" applyFont="1" applyFill="1" applyBorder="1" applyAlignment="1">
      <alignment horizontal="right" vertical="center"/>
    </xf>
    <xf numFmtId="3" fontId="40" fillId="17" borderId="1" xfId="0" applyNumberFormat="1" applyFont="1" applyFill="1" applyBorder="1" applyAlignment="1">
      <alignment horizontal="right"/>
    </xf>
    <xf numFmtId="3" fontId="41" fillId="0" borderId="2" xfId="0" applyNumberFormat="1" applyFont="1" applyBorder="1" applyAlignment="1">
      <alignment horizontal="right" vertical="center"/>
    </xf>
    <xf numFmtId="3" fontId="41" fillId="0" borderId="7" xfId="0" applyNumberFormat="1" applyFont="1" applyBorder="1" applyAlignment="1">
      <alignment horizontal="right" vertical="center"/>
    </xf>
    <xf numFmtId="3" fontId="41" fillId="0" borderId="5" xfId="0" applyNumberFormat="1" applyFont="1" applyBorder="1" applyAlignment="1">
      <alignment horizontal="right" vertical="center"/>
    </xf>
    <xf numFmtId="3" fontId="41" fillId="0" borderId="2" xfId="0" applyNumberFormat="1" applyFont="1" applyBorder="1" applyAlignment="1">
      <alignment horizontal="right"/>
    </xf>
    <xf numFmtId="0" fontId="40" fillId="0" borderId="1" xfId="0" applyFont="1" applyBorder="1" applyAlignment="1">
      <alignment horizontal="left" vertical="top" wrapText="1"/>
    </xf>
    <xf numFmtId="0" fontId="41" fillId="27" borderId="17" xfId="0" applyFont="1" applyFill="1" applyBorder="1" applyAlignment="1">
      <alignment horizontal="center"/>
    </xf>
    <xf numFmtId="0" fontId="41" fillId="27" borderId="0" xfId="0" applyFont="1" applyFill="1" applyAlignment="1">
      <alignment horizontal="center"/>
    </xf>
    <xf numFmtId="3" fontId="40" fillId="17" borderId="1" xfId="0" applyNumberFormat="1" applyFont="1" applyFill="1" applyBorder="1" applyAlignment="1">
      <alignment horizontal="right" vertical="center" wrapText="1"/>
    </xf>
    <xf numFmtId="0" fontId="40" fillId="0" borderId="1" xfId="0" applyFont="1" applyBorder="1" applyAlignment="1">
      <alignment horizontal="left" vertical="center" wrapText="1"/>
    </xf>
    <xf numFmtId="0" fontId="65" fillId="0" borderId="6" xfId="0" applyFont="1" applyBorder="1" applyAlignment="1">
      <alignment horizontal="center" vertical="center" textRotation="90" wrapText="1"/>
    </xf>
    <xf numFmtId="0" fontId="65" fillId="0" borderId="21" xfId="0" applyFont="1" applyBorder="1" applyAlignment="1">
      <alignment horizontal="center" vertical="center" textRotation="90" wrapText="1"/>
    </xf>
    <xf numFmtId="0" fontId="65" fillId="0" borderId="3" xfId="0" applyFont="1" applyBorder="1" applyAlignment="1">
      <alignment horizontal="center" vertical="center" textRotation="90" wrapText="1"/>
    </xf>
    <xf numFmtId="3" fontId="41" fillId="17" borderId="1" xfId="0" applyNumberFormat="1" applyFont="1" applyFill="1" applyBorder="1" applyAlignment="1">
      <alignment horizontal="right" vertical="center" wrapText="1"/>
    </xf>
    <xf numFmtId="3" fontId="41" fillId="23" borderId="2" xfId="0" applyNumberFormat="1" applyFont="1" applyFill="1" applyBorder="1" applyAlignment="1">
      <alignment horizontal="right" vertical="center" wrapText="1"/>
    </xf>
    <xf numFmtId="3" fontId="41" fillId="23" borderId="7" xfId="0" applyNumberFormat="1" applyFont="1" applyFill="1" applyBorder="1" applyAlignment="1">
      <alignment horizontal="right" vertical="center" wrapText="1"/>
    </xf>
    <xf numFmtId="3" fontId="41" fillId="23" borderId="5" xfId="0" applyNumberFormat="1" applyFont="1" applyFill="1" applyBorder="1" applyAlignment="1">
      <alignment horizontal="right" vertical="center" wrapText="1"/>
    </xf>
    <xf numFmtId="0" fontId="67" fillId="0" borderId="1" xfId="0" applyFont="1" applyBorder="1" applyAlignment="1">
      <alignment horizontal="center" vertical="center" wrapText="1"/>
    </xf>
    <xf numFmtId="0" fontId="41" fillId="17" borderId="22" xfId="0" applyFont="1" applyFill="1" applyBorder="1" applyAlignment="1">
      <alignment horizontal="center"/>
    </xf>
    <xf numFmtId="0" fontId="41" fillId="17" borderId="26" xfId="0" applyFont="1" applyFill="1" applyBorder="1" applyAlignment="1">
      <alignment horizontal="center"/>
    </xf>
    <xf numFmtId="0" fontId="41" fillId="17" borderId="17" xfId="0" applyFont="1" applyFill="1" applyBorder="1" applyAlignment="1">
      <alignment horizontal="center"/>
    </xf>
    <xf numFmtId="0" fontId="41" fillId="17" borderId="0" xfId="0" applyFont="1" applyFill="1" applyAlignment="1">
      <alignment horizontal="center"/>
    </xf>
    <xf numFmtId="0" fontId="41" fillId="17" borderId="4" xfId="0" applyFont="1" applyFill="1" applyBorder="1" applyAlignment="1">
      <alignment horizontal="center"/>
    </xf>
    <xf numFmtId="0" fontId="41" fillId="17" borderId="23" xfId="0" applyFont="1" applyFill="1" applyBorder="1" applyAlignment="1">
      <alignment horizontal="center"/>
    </xf>
    <xf numFmtId="0" fontId="66" fillId="27" borderId="1" xfId="0" applyFont="1" applyFill="1" applyBorder="1" applyAlignment="1">
      <alignment horizontal="center" vertical="center" wrapText="1"/>
    </xf>
    <xf numFmtId="0" fontId="30" fillId="10" borderId="2" xfId="0" applyFont="1" applyFill="1" applyBorder="1" applyAlignment="1">
      <alignment horizontal="left"/>
    </xf>
    <xf numFmtId="0" fontId="30" fillId="10" borderId="5" xfId="0" applyFont="1" applyFill="1" applyBorder="1" applyAlignment="1">
      <alignment horizontal="left"/>
    </xf>
    <xf numFmtId="167" fontId="0" fillId="0" borderId="17" xfId="2" applyFont="1" applyBorder="1" applyAlignment="1">
      <alignment horizontal="center"/>
    </xf>
    <xf numFmtId="167" fontId="0" fillId="0" borderId="0" xfId="2" applyFont="1" applyAlignment="1">
      <alignment horizontal="center"/>
    </xf>
    <xf numFmtId="167" fontId="0" fillId="0" borderId="25" xfId="2" applyFont="1" applyBorder="1" applyAlignment="1">
      <alignment horizontal="center"/>
    </xf>
    <xf numFmtId="0" fontId="40" fillId="32" borderId="7" xfId="0" applyFont="1" applyFill="1" applyBorder="1" applyAlignment="1">
      <alignment horizontal="left" vertical="center" wrapText="1"/>
    </xf>
    <xf numFmtId="0" fontId="30" fillId="0" borderId="1" xfId="0" applyFont="1" applyBorder="1" applyAlignment="1">
      <alignment horizontal="left"/>
    </xf>
    <xf numFmtId="0" fontId="40" fillId="17" borderId="1" xfId="0" applyFont="1" applyFill="1" applyBorder="1" applyAlignment="1">
      <alignment horizontal="left" vertical="center"/>
    </xf>
    <xf numFmtId="0" fontId="41" fillId="0" borderId="2" xfId="0" applyFont="1" applyBorder="1" applyAlignment="1">
      <alignment horizontal="left" vertical="top" wrapText="1"/>
    </xf>
    <xf numFmtId="0" fontId="41" fillId="0" borderId="7" xfId="0" applyFont="1" applyBorder="1" applyAlignment="1">
      <alignment horizontal="left" vertical="top" wrapText="1"/>
    </xf>
    <xf numFmtId="0" fontId="41" fillId="0" borderId="5" xfId="0" applyFont="1" applyBorder="1" applyAlignment="1">
      <alignment horizontal="left" vertical="top" wrapText="1"/>
    </xf>
    <xf numFmtId="3" fontId="41" fillId="17" borderId="1" xfId="2" applyNumberFormat="1" applyFont="1" applyFill="1" applyBorder="1" applyAlignment="1">
      <alignment horizontal="right" vertical="center" wrapText="1"/>
    </xf>
    <xf numFmtId="0" fontId="0" fillId="0" borderId="22" xfId="0" applyBorder="1" applyAlignment="1">
      <alignment horizontal="center"/>
    </xf>
    <xf numFmtId="0" fontId="0" fillId="0" borderId="26" xfId="0" applyBorder="1" applyAlignment="1">
      <alignment horizontal="center"/>
    </xf>
    <xf numFmtId="0" fontId="0" fillId="0" borderId="24"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25" xfId="0" applyBorder="1" applyAlignment="1">
      <alignment horizontal="center"/>
    </xf>
    <xf numFmtId="0" fontId="0" fillId="0" borderId="4" xfId="0" applyBorder="1" applyAlignment="1">
      <alignment horizontal="center"/>
    </xf>
    <xf numFmtId="0" fontId="0" fillId="0" borderId="23" xfId="0" applyBorder="1" applyAlignment="1">
      <alignment horizontal="center"/>
    </xf>
    <xf numFmtId="0" fontId="0" fillId="0" borderId="16" xfId="0" applyBorder="1" applyAlignment="1">
      <alignment horizontal="center"/>
    </xf>
    <xf numFmtId="0" fontId="65" fillId="0" borderId="1" xfId="0" applyFont="1" applyBorder="1" applyAlignment="1">
      <alignment horizontal="center" vertical="center" textRotation="90" wrapText="1"/>
    </xf>
    <xf numFmtId="0" fontId="65" fillId="0" borderId="1" xfId="0" applyFont="1" applyBorder="1" applyAlignment="1">
      <alignment horizontal="center" vertical="center" textRotation="90"/>
    </xf>
    <xf numFmtId="3" fontId="40" fillId="17" borderId="2" xfId="0" applyNumberFormat="1" applyFont="1" applyFill="1" applyBorder="1" applyAlignment="1">
      <alignment horizontal="right" vertical="center" wrapText="1"/>
    </xf>
    <xf numFmtId="3" fontId="40" fillId="17" borderId="7" xfId="0" applyNumberFormat="1" applyFont="1" applyFill="1" applyBorder="1" applyAlignment="1">
      <alignment horizontal="right" vertical="center" wrapText="1"/>
    </xf>
    <xf numFmtId="3" fontId="40" fillId="17" borderId="5" xfId="0" applyNumberFormat="1" applyFont="1" applyFill="1" applyBorder="1" applyAlignment="1">
      <alignment horizontal="right" vertical="center" wrapText="1"/>
    </xf>
    <xf numFmtId="3" fontId="41" fillId="0" borderId="2" xfId="2" applyNumberFormat="1" applyFont="1" applyBorder="1" applyAlignment="1">
      <alignment horizontal="right" vertical="center" wrapText="1"/>
    </xf>
    <xf numFmtId="3" fontId="41" fillId="0" borderId="7" xfId="2" applyNumberFormat="1" applyFont="1" applyBorder="1" applyAlignment="1">
      <alignment horizontal="right" vertical="center" wrapText="1"/>
    </xf>
    <xf numFmtId="3" fontId="41" fillId="0" borderId="5" xfId="2" applyNumberFormat="1" applyFont="1" applyBorder="1" applyAlignment="1">
      <alignment horizontal="right" vertical="center" wrapText="1"/>
    </xf>
    <xf numFmtId="3" fontId="41" fillId="17" borderId="2" xfId="2" applyNumberFormat="1" applyFont="1" applyFill="1" applyBorder="1" applyAlignment="1">
      <alignment horizontal="right" vertical="center" wrapText="1"/>
    </xf>
    <xf numFmtId="3" fontId="41" fillId="17" borderId="7" xfId="2" applyNumberFormat="1" applyFont="1" applyFill="1" applyBorder="1" applyAlignment="1">
      <alignment horizontal="right" vertical="center" wrapText="1"/>
    </xf>
    <xf numFmtId="3" fontId="41" fillId="17" borderId="5" xfId="2" applyNumberFormat="1" applyFont="1" applyFill="1" applyBorder="1" applyAlignment="1">
      <alignment horizontal="right" vertical="center" wrapText="1"/>
    </xf>
    <xf numFmtId="0" fontId="32" fillId="0" borderId="3" xfId="0" applyFont="1" applyBorder="1" applyAlignment="1">
      <alignment horizontal="left" vertical="center" wrapText="1"/>
    </xf>
    <xf numFmtId="0" fontId="32" fillId="0" borderId="1" xfId="0" applyFont="1" applyBorder="1" applyAlignment="1">
      <alignment horizontal="left" vertical="center" wrapText="1"/>
    </xf>
    <xf numFmtId="3" fontId="41" fillId="0" borderId="1" xfId="2" applyNumberFormat="1" applyFont="1" applyBorder="1" applyAlignment="1">
      <alignment horizontal="right" vertical="center" wrapText="1"/>
    </xf>
    <xf numFmtId="0" fontId="40" fillId="17" borderId="2" xfId="0" applyFont="1" applyFill="1" applyBorder="1" applyAlignment="1">
      <alignment horizontal="center" vertical="center" wrapText="1"/>
    </xf>
    <xf numFmtId="0" fontId="40" fillId="17" borderId="7" xfId="0" applyFont="1" applyFill="1" applyBorder="1" applyAlignment="1">
      <alignment horizontal="center" vertical="center" wrapText="1"/>
    </xf>
    <xf numFmtId="0" fontId="40" fillId="17" borderId="5" xfId="0" applyFont="1" applyFill="1" applyBorder="1" applyAlignment="1">
      <alignment horizontal="center" vertical="center" wrapText="1"/>
    </xf>
    <xf numFmtId="0" fontId="40" fillId="17" borderId="2" xfId="0" applyFont="1" applyFill="1" applyBorder="1" applyAlignment="1">
      <alignment horizontal="left" vertical="center"/>
    </xf>
    <xf numFmtId="0" fontId="40" fillId="17" borderId="7" xfId="0" applyFont="1" applyFill="1" applyBorder="1" applyAlignment="1">
      <alignment horizontal="left" vertical="center"/>
    </xf>
    <xf numFmtId="0" fontId="40" fillId="17" borderId="5" xfId="0" applyFont="1" applyFill="1" applyBorder="1" applyAlignment="1">
      <alignment horizontal="left" vertical="center"/>
    </xf>
    <xf numFmtId="0" fontId="40" fillId="32" borderId="2" xfId="0" applyFont="1" applyFill="1" applyBorder="1" applyAlignment="1">
      <alignment horizontal="left" vertical="top" wrapText="1"/>
    </xf>
    <xf numFmtId="0" fontId="40" fillId="32" borderId="7" xfId="0" applyFont="1" applyFill="1" applyBorder="1" applyAlignment="1">
      <alignment horizontal="left" vertical="top" wrapText="1"/>
    </xf>
    <xf numFmtId="0" fontId="40" fillId="32" borderId="5" xfId="0" applyFont="1" applyFill="1" applyBorder="1" applyAlignment="1">
      <alignment horizontal="left" vertical="top" wrapText="1"/>
    </xf>
    <xf numFmtId="3" fontId="41" fillId="32" borderId="1" xfId="0" applyNumberFormat="1" applyFont="1" applyFill="1" applyBorder="1" applyAlignment="1">
      <alignment horizontal="center" vertical="center" wrapText="1"/>
    </xf>
    <xf numFmtId="0" fontId="41" fillId="32" borderId="2" xfId="0" applyFont="1" applyFill="1" applyBorder="1" applyAlignment="1">
      <alignment horizontal="center" vertical="center" wrapText="1"/>
    </xf>
    <xf numFmtId="0" fontId="41" fillId="32" borderId="7" xfId="0" applyFont="1" applyFill="1" applyBorder="1" applyAlignment="1">
      <alignment horizontal="center" vertical="center" wrapText="1"/>
    </xf>
    <xf numFmtId="0" fontId="41" fillId="32" borderId="5" xfId="0" applyFont="1" applyFill="1" applyBorder="1" applyAlignment="1">
      <alignment horizontal="center" vertical="center" wrapText="1"/>
    </xf>
    <xf numFmtId="3" fontId="41" fillId="32" borderId="1" xfId="0" applyNumberFormat="1" applyFont="1" applyFill="1" applyBorder="1" applyAlignment="1">
      <alignment horizontal="right" vertical="center" wrapText="1"/>
    </xf>
    <xf numFmtId="0" fontId="40" fillId="32" borderId="2" xfId="0" applyFont="1" applyFill="1" applyBorder="1" applyAlignment="1">
      <alignment horizontal="left" vertical="center" wrapText="1"/>
    </xf>
    <xf numFmtId="0" fontId="40" fillId="32" borderId="5" xfId="0" applyFont="1" applyFill="1" applyBorder="1" applyAlignment="1">
      <alignment horizontal="left" vertical="center" wrapText="1"/>
    </xf>
    <xf numFmtId="0" fontId="40" fillId="32" borderId="1" xfId="0" applyFont="1" applyFill="1" applyBorder="1" applyAlignment="1">
      <alignment horizontal="left" vertical="center" wrapText="1"/>
    </xf>
    <xf numFmtId="0" fontId="41" fillId="17" borderId="22" xfId="0" applyFont="1" applyFill="1" applyBorder="1" applyAlignment="1">
      <alignment horizontal="left" vertical="center" wrapText="1"/>
    </xf>
    <xf numFmtId="0" fontId="41" fillId="17" borderId="26" xfId="0" applyFont="1" applyFill="1" applyBorder="1" applyAlignment="1">
      <alignment horizontal="left" vertical="center" wrapText="1"/>
    </xf>
    <xf numFmtId="0" fontId="41" fillId="17" borderId="24" xfId="0" applyFont="1" applyFill="1" applyBorder="1" applyAlignment="1">
      <alignment horizontal="left" vertical="center" wrapText="1"/>
    </xf>
    <xf numFmtId="0" fontId="41" fillId="0" borderId="22" xfId="0" applyFont="1" applyBorder="1" applyAlignment="1">
      <alignment horizontal="left" vertical="center" wrapText="1"/>
    </xf>
    <xf numFmtId="0" fontId="41" fillId="0" borderId="26" xfId="0" applyFont="1" applyBorder="1" applyAlignment="1">
      <alignment horizontal="left" vertical="center" wrapText="1"/>
    </xf>
    <xf numFmtId="0" fontId="41" fillId="0" borderId="24" xfId="0" applyFont="1" applyBorder="1" applyAlignment="1">
      <alignment horizontal="left" vertical="center" wrapText="1"/>
    </xf>
    <xf numFmtId="0" fontId="65" fillId="0" borderId="2" xfId="0" applyFont="1" applyBorder="1" applyAlignment="1">
      <alignment horizontal="center" vertical="center" textRotation="90" wrapText="1"/>
    </xf>
    <xf numFmtId="0" fontId="65" fillId="0" borderId="7" xfId="0" applyFont="1" applyBorder="1" applyAlignment="1">
      <alignment horizontal="center" vertical="center" textRotation="90" wrapText="1"/>
    </xf>
    <xf numFmtId="0" fontId="65" fillId="0" borderId="5" xfId="0" applyFont="1" applyBorder="1" applyAlignment="1">
      <alignment horizontal="center" vertical="center" textRotation="90" wrapText="1"/>
    </xf>
    <xf numFmtId="0" fontId="41" fillId="17" borderId="1" xfId="0" applyFont="1" applyFill="1" applyBorder="1" applyAlignment="1">
      <alignment horizontal="right" vertical="center" wrapText="1"/>
    </xf>
    <xf numFmtId="0" fontId="41" fillId="17" borderId="2" xfId="0" applyFont="1" applyFill="1" applyBorder="1" applyAlignment="1">
      <alignment horizontal="center" vertical="center" wrapText="1"/>
    </xf>
    <xf numFmtId="0" fontId="41" fillId="17" borderId="7" xfId="0" applyFont="1" applyFill="1" applyBorder="1" applyAlignment="1">
      <alignment horizontal="center" vertical="center" wrapText="1"/>
    </xf>
    <xf numFmtId="0" fontId="41" fillId="17" borderId="5" xfId="0" applyFont="1" applyFill="1" applyBorder="1" applyAlignment="1">
      <alignment horizontal="center" vertical="center" wrapText="1"/>
    </xf>
    <xf numFmtId="0" fontId="0" fillId="0" borderId="2" xfId="0" applyBorder="1" applyAlignment="1">
      <alignment horizontal="left"/>
    </xf>
    <xf numFmtId="0" fontId="0" fillId="0" borderId="5" xfId="0" applyBorder="1" applyAlignment="1">
      <alignment horizontal="left"/>
    </xf>
    <xf numFmtId="0" fontId="0" fillId="0" borderId="1" xfId="0" applyBorder="1" applyAlignment="1">
      <alignment horizontal="left"/>
    </xf>
    <xf numFmtId="3" fontId="40" fillId="23" borderId="1" xfId="2" applyNumberFormat="1" applyFont="1" applyFill="1" applyBorder="1" applyAlignment="1">
      <alignment horizontal="right" vertical="center" wrapText="1"/>
    </xf>
    <xf numFmtId="178" fontId="41" fillId="0" borderId="2" xfId="0" applyNumberFormat="1" applyFont="1" applyBorder="1" applyAlignment="1">
      <alignment horizontal="right" vertical="center" wrapText="1"/>
    </xf>
    <xf numFmtId="178" fontId="41" fillId="0" borderId="7" xfId="0" applyNumberFormat="1" applyFont="1" applyBorder="1" applyAlignment="1">
      <alignment horizontal="right" vertical="center" wrapText="1"/>
    </xf>
    <xf numFmtId="178" fontId="41" fillId="0" borderId="5" xfId="0" applyNumberFormat="1" applyFont="1" applyBorder="1" applyAlignment="1">
      <alignment horizontal="right" vertical="center" wrapText="1"/>
    </xf>
    <xf numFmtId="0" fontId="41" fillId="0" borderId="6" xfId="0" applyFont="1" applyBorder="1" applyAlignment="1">
      <alignment horizontal="center" vertical="center" textRotation="90" wrapText="1"/>
    </xf>
    <xf numFmtId="0" fontId="41" fillId="0" borderId="3" xfId="0" applyFont="1" applyBorder="1" applyAlignment="1">
      <alignment horizontal="center" vertical="center" textRotation="90" wrapText="1"/>
    </xf>
    <xf numFmtId="0" fontId="50" fillId="5" borderId="22" xfId="0" applyFont="1" applyFill="1" applyBorder="1" applyAlignment="1">
      <alignment horizontal="center" vertical="center" wrapText="1"/>
    </xf>
    <xf numFmtId="0" fontId="50" fillId="5" borderId="24" xfId="0" applyFont="1" applyFill="1" applyBorder="1" applyAlignment="1">
      <alignment horizontal="center" vertical="center" wrapText="1"/>
    </xf>
    <xf numFmtId="0" fontId="50" fillId="5" borderId="4" xfId="0" applyFont="1" applyFill="1" applyBorder="1" applyAlignment="1">
      <alignment horizontal="center" vertical="center" wrapText="1"/>
    </xf>
    <xf numFmtId="0" fontId="50" fillId="5" borderId="16" xfId="0" applyFont="1" applyFill="1" applyBorder="1" applyAlignment="1">
      <alignment horizontal="center" vertical="center" wrapText="1"/>
    </xf>
    <xf numFmtId="0" fontId="36" fillId="20" borderId="1" xfId="0" applyFont="1" applyFill="1" applyBorder="1" applyAlignment="1">
      <alignment horizontal="justify" vertical="justify" wrapText="1" readingOrder="1"/>
    </xf>
    <xf numFmtId="0" fontId="16" fillId="8" borderId="1" xfId="0" applyFont="1" applyFill="1" applyBorder="1" applyAlignment="1">
      <alignment horizontal="center" vertical="center" wrapText="1"/>
    </xf>
    <xf numFmtId="0" fontId="16" fillId="21" borderId="1" xfId="0" applyFont="1" applyFill="1" applyBorder="1" applyAlignment="1">
      <alignment horizontal="justify" vertical="top" wrapText="1"/>
    </xf>
    <xf numFmtId="0" fontId="34" fillId="0" borderId="1" xfId="0" applyFont="1" applyBorder="1" applyAlignment="1">
      <alignment horizontal="center" wrapText="1" readingOrder="1"/>
    </xf>
    <xf numFmtId="0" fontId="34" fillId="8" borderId="1" xfId="0" applyFont="1" applyFill="1" applyBorder="1" applyAlignment="1">
      <alignment horizontal="center" wrapText="1" readingOrder="1"/>
    </xf>
    <xf numFmtId="0" fontId="32" fillId="10" borderId="1" xfId="0" applyFont="1" applyFill="1" applyBorder="1" applyAlignment="1">
      <alignment horizontal="center" vertical="center" wrapText="1" readingOrder="1"/>
    </xf>
    <xf numFmtId="0" fontId="36" fillId="2" borderId="1" xfId="0" applyFont="1" applyFill="1" applyBorder="1" applyAlignment="1">
      <alignment horizontal="justify" vertical="justify" wrapText="1" readingOrder="1"/>
    </xf>
    <xf numFmtId="0" fontId="33" fillId="19" borderId="1" xfId="0" applyFont="1" applyFill="1" applyBorder="1" applyAlignment="1">
      <alignment horizontal="justify" vertical="justify" wrapText="1" readingOrder="1"/>
    </xf>
    <xf numFmtId="0" fontId="32" fillId="0" borderId="2"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5" xfId="0" applyFont="1" applyBorder="1" applyAlignment="1">
      <alignment horizontal="center" vertical="center" wrapText="1"/>
    </xf>
    <xf numFmtId="0" fontId="42" fillId="13" borderId="4" xfId="0" applyFont="1" applyFill="1" applyBorder="1" applyAlignment="1">
      <alignment horizontal="center"/>
    </xf>
    <xf numFmtId="0" fontId="42" fillId="13" borderId="23" xfId="0" applyFont="1" applyFill="1" applyBorder="1" applyAlignment="1">
      <alignment horizontal="center"/>
    </xf>
    <xf numFmtId="0" fontId="33" fillId="28" borderId="2" xfId="0" applyFont="1" applyFill="1" applyBorder="1" applyAlignment="1" applyProtection="1">
      <alignment horizontal="left" vertical="center" wrapText="1"/>
      <protection locked="0"/>
    </xf>
    <xf numFmtId="0" fontId="33" fillId="28" borderId="7" xfId="0" applyFont="1" applyFill="1" applyBorder="1" applyAlignment="1" applyProtection="1">
      <alignment horizontal="left" vertical="center" wrapText="1"/>
      <protection locked="0"/>
    </xf>
    <xf numFmtId="0" fontId="33" fillId="0" borderId="23" xfId="0" applyFont="1" applyBorder="1" applyAlignment="1" applyProtection="1">
      <alignment horizontal="center" vertical="center" wrapText="1"/>
      <protection locked="0"/>
    </xf>
    <xf numFmtId="0" fontId="33" fillId="0" borderId="0" xfId="0" applyFont="1" applyAlignment="1" applyProtection="1">
      <alignment horizontal="center" vertical="center" wrapText="1"/>
      <protection locked="0"/>
    </xf>
    <xf numFmtId="0" fontId="32" fillId="14" borderId="2" xfId="0" applyFont="1" applyFill="1" applyBorder="1" applyAlignment="1">
      <alignment horizontal="center" vertical="center" wrapText="1"/>
    </xf>
    <xf numFmtId="0" fontId="32" fillId="14" borderId="5" xfId="0" applyFont="1" applyFill="1" applyBorder="1" applyAlignment="1">
      <alignment horizontal="center" vertical="center" wrapText="1"/>
    </xf>
    <xf numFmtId="0" fontId="42" fillId="13" borderId="2" xfId="0" applyFont="1" applyFill="1" applyBorder="1" applyAlignment="1">
      <alignment horizontal="left" vertical="center" wrapText="1"/>
    </xf>
    <xf numFmtId="0" fontId="42" fillId="13" borderId="5" xfId="0" applyFont="1" applyFill="1" applyBorder="1" applyAlignment="1">
      <alignment horizontal="left" vertical="center" wrapText="1"/>
    </xf>
    <xf numFmtId="0" fontId="83" fillId="28" borderId="2" xfId="0" applyFont="1" applyFill="1" applyBorder="1" applyAlignment="1" applyProtection="1">
      <alignment horizontal="left" vertical="center" wrapText="1"/>
      <protection locked="0"/>
    </xf>
    <xf numFmtId="0" fontId="6" fillId="18" borderId="1" xfId="11" applyFill="1" applyBorder="1" applyAlignment="1" applyProtection="1">
      <alignment horizontal="center" vertical="center" wrapText="1"/>
      <protection locked="0"/>
    </xf>
    <xf numFmtId="0" fontId="33" fillId="28" borderId="1" xfId="0" applyFont="1" applyFill="1" applyBorder="1" applyAlignment="1" applyProtection="1">
      <alignment horizontal="left" vertical="center" wrapText="1"/>
      <protection locked="0"/>
    </xf>
    <xf numFmtId="0" fontId="33" fillId="28" borderId="5" xfId="0" applyFont="1" applyFill="1" applyBorder="1" applyAlignment="1" applyProtection="1">
      <alignment horizontal="left" vertical="center" wrapText="1"/>
      <protection locked="0"/>
    </xf>
    <xf numFmtId="0" fontId="83" fillId="28" borderId="1" xfId="0" applyFont="1" applyFill="1" applyBorder="1" applyAlignment="1" applyProtection="1">
      <alignment horizontal="left" vertical="center" wrapText="1"/>
      <protection locked="0"/>
    </xf>
    <xf numFmtId="0" fontId="32" fillId="25" borderId="2" xfId="0" applyFont="1" applyFill="1" applyBorder="1" applyAlignment="1">
      <alignment horizontal="left" vertical="center" wrapText="1"/>
    </xf>
    <xf numFmtId="0" fontId="32" fillId="25" borderId="5" xfId="0" applyFont="1" applyFill="1" applyBorder="1" applyAlignment="1">
      <alignment horizontal="left" vertical="center" wrapText="1"/>
    </xf>
    <xf numFmtId="0" fontId="32" fillId="0" borderId="2" xfId="0" applyFont="1" applyBorder="1" applyAlignment="1">
      <alignment horizontal="left" vertical="center" wrapText="1"/>
    </xf>
    <xf numFmtId="0" fontId="32" fillId="0" borderId="7" xfId="0" applyFont="1" applyBorder="1" applyAlignment="1">
      <alignment horizontal="left" vertical="center" wrapText="1"/>
    </xf>
    <xf numFmtId="0" fontId="32" fillId="0" borderId="5" xfId="0" applyFont="1" applyBorder="1" applyAlignment="1">
      <alignment horizontal="left" vertical="center" wrapText="1"/>
    </xf>
    <xf numFmtId="0" fontId="42" fillId="13" borderId="2" xfId="0" applyFont="1" applyFill="1" applyBorder="1" applyAlignment="1">
      <alignment horizontal="center"/>
    </xf>
    <xf numFmtId="0" fontId="42" fillId="13" borderId="7" xfId="0" applyFont="1" applyFill="1" applyBorder="1" applyAlignment="1">
      <alignment horizontal="center"/>
    </xf>
    <xf numFmtId="0" fontId="42" fillId="13" borderId="5" xfId="0" applyFont="1" applyFill="1" applyBorder="1" applyAlignment="1">
      <alignment horizontal="center"/>
    </xf>
    <xf numFmtId="0" fontId="42" fillId="15" borderId="1" xfId="0" applyFont="1" applyFill="1" applyBorder="1" applyAlignment="1">
      <alignment horizontal="center" vertical="center" wrapText="1"/>
    </xf>
    <xf numFmtId="0" fontId="28" fillId="13" borderId="1" xfId="0" applyFont="1" applyFill="1" applyBorder="1" applyAlignment="1">
      <alignment horizontal="center"/>
    </xf>
    <xf numFmtId="0" fontId="0" fillId="29" borderId="1" xfId="0" applyFill="1" applyBorder="1" applyAlignment="1">
      <alignment horizontal="center"/>
    </xf>
    <xf numFmtId="0" fontId="0" fillId="29" borderId="2" xfId="0" applyFill="1" applyBorder="1" applyAlignment="1">
      <alignment horizontal="center"/>
    </xf>
    <xf numFmtId="0" fontId="0" fillId="29" borderId="5" xfId="0" applyFill="1" applyBorder="1" applyAlignment="1">
      <alignment horizontal="center"/>
    </xf>
    <xf numFmtId="0" fontId="28" fillId="13" borderId="23" xfId="0" applyFont="1" applyFill="1" applyBorder="1" applyAlignment="1">
      <alignment horizontal="center"/>
    </xf>
    <xf numFmtId="3" fontId="32" fillId="3" borderId="24" xfId="0" applyNumberFormat="1" applyFont="1" applyFill="1" applyBorder="1" applyAlignment="1">
      <alignment horizontal="center" vertical="center"/>
    </xf>
    <xf numFmtId="3" fontId="32" fillId="3" borderId="16" xfId="0" applyNumberFormat="1" applyFont="1" applyFill="1" applyBorder="1" applyAlignment="1">
      <alignment horizontal="center" vertical="center"/>
    </xf>
    <xf numFmtId="0" fontId="0" fillId="0" borderId="1" xfId="0" applyBorder="1" applyAlignment="1">
      <alignment horizontal="center" wrapText="1"/>
    </xf>
    <xf numFmtId="3" fontId="0" fillId="0" borderId="26" xfId="0" applyNumberFormat="1" applyBorder="1" applyAlignment="1">
      <alignment horizontal="center"/>
    </xf>
    <xf numFmtId="0" fontId="28" fillId="13" borderId="8" xfId="0" applyFont="1" applyFill="1" applyBorder="1" applyAlignment="1">
      <alignment horizontal="center" wrapText="1"/>
    </xf>
    <xf numFmtId="0" fontId="28" fillId="13" borderId="1" xfId="0" applyFont="1" applyFill="1" applyBorder="1" applyAlignment="1">
      <alignment horizontal="center" wrapText="1"/>
    </xf>
    <xf numFmtId="0" fontId="28" fillId="13" borderId="13" xfId="0" applyFont="1" applyFill="1" applyBorder="1" applyAlignment="1">
      <alignment horizontal="center" wrapText="1"/>
    </xf>
    <xf numFmtId="0" fontId="28" fillId="13" borderId="14" xfId="0" applyFont="1" applyFill="1" applyBorder="1" applyAlignment="1">
      <alignment horizontal="center" wrapText="1"/>
    </xf>
    <xf numFmtId="0" fontId="28" fillId="13" borderId="10" xfId="0" applyFont="1" applyFill="1" applyBorder="1" applyAlignment="1">
      <alignment horizontal="center"/>
    </xf>
    <xf numFmtId="0" fontId="28" fillId="13" borderId="8" xfId="0" applyFont="1" applyFill="1" applyBorder="1" applyAlignment="1">
      <alignment horizontal="center"/>
    </xf>
    <xf numFmtId="3" fontId="42" fillId="13" borderId="4" xfId="0" applyNumberFormat="1" applyFont="1" applyFill="1" applyBorder="1" applyAlignment="1">
      <alignment horizontal="center" vertical="center" wrapText="1"/>
    </xf>
    <xf numFmtId="3" fontId="42" fillId="13" borderId="23" xfId="0" applyNumberFormat="1" applyFont="1" applyFill="1" applyBorder="1" applyAlignment="1">
      <alignment horizontal="center" vertical="center" wrapText="1"/>
    </xf>
    <xf numFmtId="3" fontId="42" fillId="13" borderId="16" xfId="0" applyNumberFormat="1" applyFont="1" applyFill="1" applyBorder="1" applyAlignment="1">
      <alignment horizontal="center" vertical="center" wrapText="1"/>
    </xf>
    <xf numFmtId="0" fontId="6" fillId="5" borderId="24" xfId="11" applyFill="1" applyBorder="1" applyAlignment="1" applyProtection="1">
      <alignment horizontal="center" vertical="center" textRotation="90"/>
    </xf>
    <xf numFmtId="0" fontId="6" fillId="5" borderId="25" xfId="11" applyFill="1" applyBorder="1" applyAlignment="1" applyProtection="1">
      <alignment horizontal="center" vertical="center" textRotation="90"/>
    </xf>
    <xf numFmtId="3" fontId="16" fillId="3" borderId="1" xfId="0" applyNumberFormat="1" applyFont="1" applyFill="1" applyBorder="1" applyAlignment="1">
      <alignment horizontal="center" vertical="center" wrapText="1"/>
    </xf>
    <xf numFmtId="3" fontId="32" fillId="3" borderId="6" xfId="11" applyNumberFormat="1" applyFont="1" applyFill="1" applyBorder="1" applyAlignment="1" applyProtection="1">
      <alignment horizontal="center" vertical="center" wrapText="1"/>
    </xf>
    <xf numFmtId="3" fontId="32" fillId="3" borderId="21" xfId="11" applyNumberFormat="1" applyFont="1" applyFill="1" applyBorder="1" applyAlignment="1" applyProtection="1">
      <alignment horizontal="center" vertical="center" wrapText="1"/>
    </xf>
    <xf numFmtId="3" fontId="32" fillId="3" borderId="3" xfId="11" applyNumberFormat="1" applyFont="1" applyFill="1" applyBorder="1" applyAlignment="1" applyProtection="1">
      <alignment horizontal="center" vertical="center" wrapText="1"/>
    </xf>
    <xf numFmtId="3" fontId="33" fillId="3" borderId="6" xfId="0" applyNumberFormat="1" applyFont="1" applyFill="1" applyBorder="1" applyAlignment="1">
      <alignment horizontal="center" vertical="center"/>
    </xf>
    <xf numFmtId="3" fontId="33" fillId="3" borderId="3" xfId="0" applyNumberFormat="1" applyFont="1" applyFill="1" applyBorder="1" applyAlignment="1">
      <alignment horizontal="center" vertical="center"/>
    </xf>
    <xf numFmtId="3" fontId="6" fillId="5" borderId="1" xfId="11" applyNumberFormat="1" applyFill="1" applyBorder="1" applyAlignment="1" applyProtection="1">
      <alignment horizontal="center" vertical="center" textRotation="90" wrapText="1"/>
    </xf>
    <xf numFmtId="3" fontId="33" fillId="11" borderId="1" xfId="0" applyNumberFormat="1" applyFont="1" applyFill="1" applyBorder="1" applyAlignment="1" applyProtection="1">
      <alignment horizontal="left"/>
      <protection locked="0"/>
    </xf>
    <xf numFmtId="3" fontId="33" fillId="11" borderId="2" xfId="0" applyNumberFormat="1" applyFont="1" applyFill="1" applyBorder="1" applyAlignment="1" applyProtection="1">
      <alignment horizontal="left"/>
      <protection locked="0"/>
    </xf>
    <xf numFmtId="3" fontId="32" fillId="5" borderId="17" xfId="0" applyNumberFormat="1" applyFont="1" applyFill="1" applyBorder="1" applyAlignment="1">
      <alignment horizontal="center"/>
    </xf>
    <xf numFmtId="3" fontId="32" fillId="5" borderId="0" xfId="0" applyNumberFormat="1" applyFont="1" applyFill="1" applyAlignment="1">
      <alignment horizontal="center"/>
    </xf>
    <xf numFmtId="3" fontId="32" fillId="3" borderId="2" xfId="0" applyNumberFormat="1" applyFont="1" applyFill="1" applyBorder="1" applyAlignment="1">
      <alignment horizontal="center" vertical="center"/>
    </xf>
    <xf numFmtId="3" fontId="32" fillId="3" borderId="7" xfId="0" applyNumberFormat="1" applyFont="1" applyFill="1" applyBorder="1" applyAlignment="1">
      <alignment horizontal="center" vertical="center"/>
    </xf>
    <xf numFmtId="3" fontId="32" fillId="3" borderId="22" xfId="11" applyNumberFormat="1" applyFont="1" applyFill="1" applyBorder="1" applyAlignment="1" applyProtection="1">
      <alignment horizontal="center" vertical="center" wrapText="1"/>
    </xf>
    <xf numFmtId="3" fontId="32" fillId="3" borderId="17" xfId="11" applyNumberFormat="1" applyFont="1" applyFill="1" applyBorder="1" applyAlignment="1" applyProtection="1">
      <alignment horizontal="center" vertical="center" wrapText="1"/>
    </xf>
    <xf numFmtId="3" fontId="32" fillId="3" borderId="4" xfId="11" applyNumberFormat="1" applyFont="1" applyFill="1" applyBorder="1" applyAlignment="1" applyProtection="1">
      <alignment horizontal="center" vertical="center" wrapText="1"/>
    </xf>
    <xf numFmtId="3" fontId="32" fillId="3" borderId="26" xfId="11" applyNumberFormat="1" applyFont="1" applyFill="1" applyBorder="1" applyAlignment="1" applyProtection="1">
      <alignment horizontal="center" vertical="center" wrapText="1"/>
    </xf>
    <xf numFmtId="3" fontId="32" fillId="3" borderId="0" xfId="11" applyNumberFormat="1" applyFont="1" applyFill="1" applyBorder="1" applyAlignment="1" applyProtection="1">
      <alignment horizontal="center" vertical="center" wrapText="1"/>
    </xf>
    <xf numFmtId="3" fontId="32" fillId="3" borderId="23" xfId="11" applyNumberFormat="1" applyFont="1" applyFill="1" applyBorder="1" applyAlignment="1" applyProtection="1">
      <alignment horizontal="center" vertical="center" wrapText="1"/>
    </xf>
    <xf numFmtId="181" fontId="6" fillId="5" borderId="1" xfId="11" applyNumberFormat="1" applyFill="1" applyBorder="1" applyAlignment="1" applyProtection="1">
      <alignment horizontal="center" textRotation="90"/>
    </xf>
    <xf numFmtId="181" fontId="6" fillId="5" borderId="21" xfId="11" applyNumberFormat="1" applyFill="1" applyBorder="1" applyAlignment="1" applyProtection="1">
      <alignment horizontal="center" textRotation="90"/>
    </xf>
    <xf numFmtId="3" fontId="32" fillId="3" borderId="5" xfId="0" applyNumberFormat="1" applyFont="1" applyFill="1" applyBorder="1" applyAlignment="1">
      <alignment horizontal="center" vertical="center"/>
    </xf>
    <xf numFmtId="3" fontId="33" fillId="28" borderId="2" xfId="0" applyNumberFormat="1" applyFont="1" applyFill="1" applyBorder="1" applyAlignment="1">
      <alignment horizontal="right" vertical="center"/>
    </xf>
    <xf numFmtId="3" fontId="33" fillId="28" borderId="5" xfId="0" applyNumberFormat="1" applyFont="1" applyFill="1" applyBorder="1" applyAlignment="1">
      <alignment horizontal="right" vertical="center"/>
    </xf>
    <xf numFmtId="3" fontId="33" fillId="28" borderId="2" xfId="0" applyNumberFormat="1" applyFont="1" applyFill="1" applyBorder="1" applyAlignment="1" applyProtection="1">
      <alignment horizontal="left"/>
      <protection locked="0"/>
    </xf>
    <xf numFmtId="3" fontId="33" fillId="28" borderId="7" xfId="0" applyNumberFormat="1" applyFont="1" applyFill="1" applyBorder="1" applyAlignment="1" applyProtection="1">
      <alignment horizontal="left"/>
      <protection locked="0"/>
    </xf>
    <xf numFmtId="3" fontId="33" fillId="28" borderId="5" xfId="0" applyNumberFormat="1" applyFont="1" applyFill="1" applyBorder="1" applyAlignment="1" applyProtection="1">
      <alignment horizontal="left"/>
      <protection locked="0"/>
    </xf>
    <xf numFmtId="3" fontId="19" fillId="5" borderId="21" xfId="11" applyNumberFormat="1" applyFont="1" applyFill="1" applyBorder="1" applyAlignment="1" applyProtection="1">
      <alignment horizontal="center" vertical="center" textRotation="90" wrapText="1"/>
    </xf>
    <xf numFmtId="3" fontId="19" fillId="5" borderId="3" xfId="11" applyNumberFormat="1" applyFont="1" applyFill="1" applyBorder="1" applyAlignment="1" applyProtection="1">
      <alignment horizontal="center" vertical="center" textRotation="90" wrapText="1"/>
    </xf>
    <xf numFmtId="3" fontId="42" fillId="13" borderId="17" xfId="0" applyNumberFormat="1" applyFont="1" applyFill="1" applyBorder="1" applyAlignment="1">
      <alignment horizontal="center"/>
    </xf>
    <xf numFmtId="3" fontId="42" fillId="13" borderId="0" xfId="0" applyNumberFormat="1" applyFont="1" applyFill="1" applyAlignment="1">
      <alignment horizontal="center"/>
    </xf>
    <xf numFmtId="3" fontId="53" fillId="5" borderId="17" xfId="0" applyNumberFormat="1" applyFont="1" applyFill="1" applyBorder="1" applyAlignment="1">
      <alignment horizontal="center" wrapText="1"/>
    </xf>
    <xf numFmtId="3" fontId="53" fillId="5" borderId="0" xfId="0" applyNumberFormat="1" applyFont="1" applyFill="1" applyAlignment="1">
      <alignment horizontal="center" wrapText="1"/>
    </xf>
    <xf numFmtId="3" fontId="6" fillId="5" borderId="6" xfId="11" applyNumberFormat="1" applyFill="1" applyBorder="1" applyAlignment="1" applyProtection="1">
      <alignment horizontal="center" vertical="center" textRotation="90" wrapText="1"/>
    </xf>
    <xf numFmtId="3" fontId="6" fillId="5" borderId="21" xfId="11" applyNumberFormat="1" applyFill="1" applyBorder="1" applyAlignment="1" applyProtection="1">
      <alignment horizontal="center" vertical="center" textRotation="90" wrapText="1"/>
    </xf>
    <xf numFmtId="3" fontId="6" fillId="5" borderId="3" xfId="11" applyNumberFormat="1" applyFill="1" applyBorder="1" applyAlignment="1" applyProtection="1">
      <alignment horizontal="center" vertical="center" textRotation="90" wrapText="1"/>
    </xf>
    <xf numFmtId="3" fontId="32" fillId="5" borderId="22" xfId="0" applyNumberFormat="1" applyFont="1" applyFill="1" applyBorder="1" applyAlignment="1">
      <alignment horizontal="center"/>
    </xf>
    <xf numFmtId="3" fontId="32" fillId="5" borderId="26" xfId="0" applyNumberFormat="1" applyFont="1" applyFill="1" applyBorder="1" applyAlignment="1">
      <alignment horizontal="center"/>
    </xf>
    <xf numFmtId="3" fontId="32" fillId="28" borderId="2" xfId="0" applyNumberFormat="1" applyFont="1" applyFill="1" applyBorder="1" applyAlignment="1">
      <alignment horizontal="center" vertical="center"/>
    </xf>
    <xf numFmtId="3" fontId="32" fillId="28" borderId="5" xfId="0" applyNumberFormat="1" applyFont="1" applyFill="1" applyBorder="1" applyAlignment="1">
      <alignment horizontal="center" vertical="center"/>
    </xf>
    <xf numFmtId="3" fontId="32" fillId="5" borderId="2" xfId="0" applyNumberFormat="1" applyFont="1" applyFill="1" applyBorder="1" applyAlignment="1">
      <alignment horizontal="center"/>
    </xf>
    <xf numFmtId="3" fontId="32" fillId="5" borderId="5" xfId="0" applyNumberFormat="1" applyFont="1" applyFill="1" applyBorder="1" applyAlignment="1">
      <alignment horizontal="center"/>
    </xf>
    <xf numFmtId="3" fontId="32" fillId="3" borderId="6" xfId="0" applyNumberFormat="1" applyFont="1" applyFill="1" applyBorder="1" applyAlignment="1">
      <alignment horizontal="center" vertical="center"/>
    </xf>
    <xf numFmtId="3" fontId="32" fillId="3" borderId="21" xfId="0" applyNumberFormat="1" applyFont="1" applyFill="1" applyBorder="1" applyAlignment="1">
      <alignment horizontal="center" vertical="center"/>
    </xf>
    <xf numFmtId="3" fontId="32" fillId="3" borderId="3" xfId="0" applyNumberFormat="1" applyFont="1" applyFill="1" applyBorder="1" applyAlignment="1">
      <alignment horizontal="center" vertical="center"/>
    </xf>
    <xf numFmtId="3" fontId="33" fillId="11" borderId="2" xfId="0" applyNumberFormat="1" applyFont="1" applyFill="1" applyBorder="1" applyAlignment="1">
      <alignment horizontal="left"/>
    </xf>
    <xf numFmtId="3" fontId="33" fillId="11" borderId="7" xfId="0" applyNumberFormat="1" applyFont="1" applyFill="1" applyBorder="1" applyAlignment="1">
      <alignment horizontal="left"/>
    </xf>
    <xf numFmtId="3" fontId="33" fillId="11" borderId="5" xfId="0" applyNumberFormat="1" applyFont="1" applyFill="1" applyBorder="1" applyAlignment="1">
      <alignment horizontal="left"/>
    </xf>
    <xf numFmtId="3" fontId="33" fillId="11" borderId="7" xfId="0" applyNumberFormat="1" applyFont="1" applyFill="1" applyBorder="1" applyAlignment="1" applyProtection="1">
      <alignment horizontal="left"/>
      <protection locked="0"/>
    </xf>
    <xf numFmtId="3" fontId="33" fillId="11" borderId="5" xfId="0" applyNumberFormat="1" applyFont="1" applyFill="1" applyBorder="1" applyAlignment="1" applyProtection="1">
      <alignment horizontal="left"/>
      <protection locked="0"/>
    </xf>
    <xf numFmtId="3" fontId="51" fillId="5" borderId="2" xfId="0" applyNumberFormat="1" applyFont="1" applyFill="1" applyBorder="1" applyAlignment="1">
      <alignment horizontal="center"/>
    </xf>
    <xf numFmtId="3" fontId="51" fillId="5" borderId="7" xfId="0" applyNumberFormat="1" applyFont="1" applyFill="1" applyBorder="1" applyAlignment="1">
      <alignment horizontal="center"/>
    </xf>
    <xf numFmtId="3" fontId="51" fillId="5" borderId="5" xfId="0" applyNumberFormat="1" applyFont="1" applyFill="1" applyBorder="1" applyAlignment="1">
      <alignment horizontal="center"/>
    </xf>
    <xf numFmtId="3" fontId="33" fillId="28" borderId="2" xfId="0" applyNumberFormat="1" applyFont="1" applyFill="1" applyBorder="1" applyAlignment="1" applyProtection="1">
      <alignment horizontal="center"/>
      <protection locked="0"/>
    </xf>
    <xf numFmtId="3" fontId="33" fillId="28" borderId="7" xfId="0" applyNumberFormat="1" applyFont="1" applyFill="1" applyBorder="1" applyAlignment="1" applyProtection="1">
      <alignment horizontal="center"/>
      <protection locked="0"/>
    </xf>
    <xf numFmtId="3" fontId="33" fillId="28" borderId="5" xfId="0" applyNumberFormat="1" applyFont="1" applyFill="1" applyBorder="1" applyAlignment="1" applyProtection="1">
      <alignment horizontal="center"/>
      <protection locked="0"/>
    </xf>
    <xf numFmtId="3" fontId="32" fillId="11" borderId="2" xfId="0" applyNumberFormat="1" applyFont="1" applyFill="1" applyBorder="1" applyAlignment="1">
      <alignment horizontal="left"/>
    </xf>
    <xf numFmtId="3" fontId="32" fillId="11" borderId="7" xfId="0" applyNumberFormat="1" applyFont="1" applyFill="1" applyBorder="1" applyAlignment="1">
      <alignment horizontal="left"/>
    </xf>
    <xf numFmtId="3" fontId="32" fillId="11" borderId="5" xfId="0" applyNumberFormat="1" applyFont="1" applyFill="1" applyBorder="1" applyAlignment="1">
      <alignment horizontal="left"/>
    </xf>
    <xf numFmtId="3" fontId="33" fillId="11" borderId="2" xfId="0" applyNumberFormat="1" applyFont="1" applyFill="1" applyBorder="1"/>
    <xf numFmtId="3" fontId="33" fillId="11" borderId="7" xfId="0" applyNumberFormat="1" applyFont="1" applyFill="1" applyBorder="1"/>
    <xf numFmtId="3" fontId="33" fillId="11" borderId="5" xfId="0" applyNumberFormat="1" applyFont="1" applyFill="1" applyBorder="1"/>
    <xf numFmtId="3" fontId="32" fillId="5" borderId="2" xfId="0" applyNumberFormat="1" applyFont="1" applyFill="1" applyBorder="1" applyAlignment="1">
      <alignment horizontal="left"/>
    </xf>
    <xf numFmtId="3" fontId="32" fillId="5" borderId="7" xfId="0" applyNumberFormat="1" applyFont="1" applyFill="1" applyBorder="1" applyAlignment="1">
      <alignment horizontal="left"/>
    </xf>
    <xf numFmtId="3" fontId="32" fillId="5" borderId="5" xfId="0" applyNumberFormat="1" applyFont="1" applyFill="1" applyBorder="1" applyAlignment="1">
      <alignment horizontal="left"/>
    </xf>
    <xf numFmtId="3" fontId="33" fillId="11" borderId="2" xfId="0" applyNumberFormat="1" applyFont="1" applyFill="1" applyBorder="1" applyAlignment="1">
      <alignment wrapText="1"/>
    </xf>
    <xf numFmtId="3" fontId="33" fillId="11" borderId="7" xfId="0" applyNumberFormat="1" applyFont="1" applyFill="1" applyBorder="1" applyAlignment="1">
      <alignment wrapText="1"/>
    </xf>
    <xf numFmtId="3" fontId="33" fillId="11" borderId="5" xfId="0" applyNumberFormat="1" applyFont="1" applyFill="1" applyBorder="1" applyAlignment="1">
      <alignment wrapText="1"/>
    </xf>
    <xf numFmtId="3" fontId="33" fillId="11" borderId="2" xfId="0" applyNumberFormat="1" applyFont="1" applyFill="1" applyBorder="1" applyAlignment="1">
      <alignment horizontal="left" wrapText="1"/>
    </xf>
    <xf numFmtId="3" fontId="33" fillId="11" borderId="7" xfId="0" applyNumberFormat="1" applyFont="1" applyFill="1" applyBorder="1" applyAlignment="1">
      <alignment horizontal="left" wrapText="1"/>
    </xf>
    <xf numFmtId="3" fontId="33" fillId="11" borderId="5" xfId="0" applyNumberFormat="1" applyFont="1" applyFill="1" applyBorder="1" applyAlignment="1">
      <alignment horizontal="left" wrapText="1"/>
    </xf>
    <xf numFmtId="3" fontId="51" fillId="5" borderId="2" xfId="0" applyNumberFormat="1" applyFont="1" applyFill="1" applyBorder="1" applyAlignment="1">
      <alignment horizontal="center" wrapText="1"/>
    </xf>
    <xf numFmtId="3" fontId="51" fillId="5" borderId="5" xfId="0" applyNumberFormat="1" applyFont="1" applyFill="1" applyBorder="1" applyAlignment="1">
      <alignment horizontal="center" wrapText="1"/>
    </xf>
    <xf numFmtId="3" fontId="33" fillId="3" borderId="6" xfId="0" applyNumberFormat="1" applyFont="1" applyFill="1" applyBorder="1" applyAlignment="1">
      <alignment horizontal="right"/>
    </xf>
    <xf numFmtId="3" fontId="33" fillId="3" borderId="21" xfId="0" applyNumberFormat="1" applyFont="1" applyFill="1" applyBorder="1" applyAlignment="1">
      <alignment horizontal="right"/>
    </xf>
    <xf numFmtId="3" fontId="33" fillId="3" borderId="3" xfId="0" applyNumberFormat="1" applyFont="1" applyFill="1" applyBorder="1" applyAlignment="1">
      <alignment horizontal="right"/>
    </xf>
    <xf numFmtId="0" fontId="82" fillId="12" borderId="1" xfId="0" applyFont="1" applyFill="1" applyBorder="1" applyAlignment="1">
      <alignment horizontal="justify" vertical="justify" wrapText="1"/>
    </xf>
    <xf numFmtId="167" fontId="30" fillId="0" borderId="1" xfId="2" applyFont="1" applyBorder="1" applyAlignment="1">
      <alignment horizontal="center"/>
    </xf>
    <xf numFmtId="0" fontId="28" fillId="15" borderId="1" xfId="2" quotePrefix="1" applyNumberFormat="1" applyFont="1" applyFill="1" applyBorder="1" applyAlignment="1">
      <alignment horizontal="justify" vertical="justify" wrapText="1"/>
    </xf>
    <xf numFmtId="3" fontId="32" fillId="5" borderId="1" xfId="0" applyNumberFormat="1" applyFont="1" applyFill="1" applyBorder="1" applyAlignment="1">
      <alignment horizontal="center"/>
    </xf>
    <xf numFmtId="3" fontId="32" fillId="0" borderId="2" xfId="0" applyNumberFormat="1" applyFont="1" applyBorder="1" applyAlignment="1" applyProtection="1">
      <alignment horizontal="left"/>
      <protection locked="0"/>
    </xf>
    <xf numFmtId="3" fontId="32" fillId="0" borderId="7" xfId="0" applyNumberFormat="1" applyFont="1" applyBorder="1" applyAlignment="1" applyProtection="1">
      <alignment horizontal="left"/>
      <protection locked="0"/>
    </xf>
    <xf numFmtId="3" fontId="32" fillId="0" borderId="5" xfId="0" applyNumberFormat="1" applyFont="1" applyBorder="1" applyAlignment="1" applyProtection="1">
      <alignment horizontal="left"/>
      <protection locked="0"/>
    </xf>
    <xf numFmtId="3" fontId="32" fillId="3" borderId="6" xfId="11" applyNumberFormat="1" applyFont="1" applyFill="1" applyBorder="1" applyAlignment="1" applyProtection="1">
      <alignment horizontal="center" vertical="center"/>
    </xf>
    <xf numFmtId="3" fontId="32" fillId="3" borderId="21" xfId="11" applyNumberFormat="1" applyFont="1" applyFill="1" applyBorder="1" applyAlignment="1" applyProtection="1">
      <alignment horizontal="center" vertical="center"/>
    </xf>
    <xf numFmtId="3" fontId="32" fillId="3" borderId="3" xfId="11" applyNumberFormat="1" applyFont="1" applyFill="1" applyBorder="1" applyAlignment="1" applyProtection="1">
      <alignment horizontal="center" vertical="center"/>
    </xf>
    <xf numFmtId="3" fontId="32" fillId="3" borderId="1" xfId="0" applyNumberFormat="1" applyFont="1" applyFill="1" applyBorder="1" applyAlignment="1">
      <alignment horizontal="center" vertical="center"/>
    </xf>
    <xf numFmtId="3" fontId="32" fillId="6" borderId="4" xfId="0" applyNumberFormat="1" applyFont="1" applyFill="1" applyBorder="1" applyAlignment="1">
      <alignment horizontal="center"/>
    </xf>
    <xf numFmtId="3" fontId="32" fillId="6" borderId="23" xfId="0" applyNumberFormat="1" applyFont="1" applyFill="1" applyBorder="1" applyAlignment="1">
      <alignment horizontal="center"/>
    </xf>
    <xf numFmtId="3" fontId="32" fillId="6" borderId="16" xfId="0" applyNumberFormat="1" applyFont="1" applyFill="1" applyBorder="1" applyAlignment="1">
      <alignment horizontal="center"/>
    </xf>
    <xf numFmtId="3" fontId="33" fillId="28" borderId="1" xfId="0" applyNumberFormat="1" applyFont="1" applyFill="1" applyBorder="1" applyAlignment="1" applyProtection="1">
      <alignment horizontal="left"/>
      <protection locked="0"/>
    </xf>
    <xf numFmtId="3" fontId="33" fillId="3" borderId="1" xfId="0" applyNumberFormat="1" applyFont="1" applyFill="1" applyBorder="1" applyAlignment="1">
      <alignment horizontal="left"/>
    </xf>
    <xf numFmtId="3" fontId="33" fillId="11" borderId="22" xfId="0" applyNumberFormat="1" applyFont="1" applyFill="1" applyBorder="1" applyAlignment="1" applyProtection="1">
      <alignment horizontal="left"/>
      <protection locked="0"/>
    </xf>
    <xf numFmtId="3" fontId="33" fillId="11" borderId="24" xfId="0" applyNumberFormat="1" applyFont="1" applyFill="1" applyBorder="1" applyAlignment="1" applyProtection="1">
      <alignment horizontal="left"/>
      <protection locked="0"/>
    </xf>
    <xf numFmtId="3" fontId="6" fillId="5" borderId="6" xfId="11" applyNumberFormat="1" applyFill="1" applyBorder="1" applyAlignment="1" applyProtection="1">
      <alignment horizontal="center" vertical="center" textRotation="90" wrapText="1"/>
      <protection locked="0"/>
    </xf>
    <xf numFmtId="3" fontId="6" fillId="5" borderId="21" xfId="11" applyNumberFormat="1" applyFill="1" applyBorder="1" applyAlignment="1" applyProtection="1">
      <alignment horizontal="center" vertical="center" textRotation="90" wrapText="1"/>
      <protection locked="0"/>
    </xf>
    <xf numFmtId="3" fontId="32" fillId="3" borderId="1" xfId="11" applyNumberFormat="1" applyFont="1" applyFill="1" applyBorder="1" applyAlignment="1" applyProtection="1">
      <alignment horizontal="center" vertical="center" wrapText="1"/>
    </xf>
    <xf numFmtId="0" fontId="32" fillId="3" borderId="1" xfId="11" applyFont="1" applyFill="1" applyBorder="1" applyAlignment="1" applyProtection="1">
      <alignment horizontal="center" vertical="center" wrapText="1"/>
    </xf>
    <xf numFmtId="0" fontId="32" fillId="0" borderId="1" xfId="0" applyFont="1" applyBorder="1" applyAlignment="1">
      <alignment horizontal="left"/>
    </xf>
    <xf numFmtId="0" fontId="42" fillId="13" borderId="1" xfId="0" applyFont="1" applyFill="1" applyBorder="1" applyAlignment="1">
      <alignment horizontal="center"/>
    </xf>
    <xf numFmtId="0" fontId="42" fillId="13" borderId="1" xfId="0" applyFont="1" applyFill="1" applyBorder="1" applyAlignment="1" applyProtection="1">
      <alignment horizontal="center"/>
      <protection locked="0"/>
    </xf>
    <xf numFmtId="0" fontId="42" fillId="13" borderId="1" xfId="0" applyFont="1" applyFill="1" applyBorder="1" applyAlignment="1">
      <alignment horizontal="left"/>
    </xf>
    <xf numFmtId="3" fontId="32" fillId="0" borderId="1" xfId="0" applyNumberFormat="1" applyFont="1" applyBorder="1" applyAlignment="1" applyProtection="1">
      <alignment horizontal="left"/>
      <protection locked="0"/>
    </xf>
    <xf numFmtId="3" fontId="32" fillId="3" borderId="6" xfId="0" applyNumberFormat="1" applyFont="1" applyFill="1" applyBorder="1" applyAlignment="1">
      <alignment horizontal="center" vertical="center" wrapText="1"/>
    </xf>
    <xf numFmtId="3" fontId="32" fillId="3" borderId="21" xfId="0" applyNumberFormat="1" applyFont="1" applyFill="1" applyBorder="1" applyAlignment="1">
      <alignment horizontal="center" vertical="center" wrapText="1"/>
    </xf>
    <xf numFmtId="3" fontId="32" fillId="3" borderId="3" xfId="0" applyNumberFormat="1" applyFont="1" applyFill="1" applyBorder="1" applyAlignment="1">
      <alignment horizontal="center" vertical="center" wrapText="1"/>
    </xf>
    <xf numFmtId="3" fontId="32" fillId="3" borderId="1" xfId="0" applyNumberFormat="1" applyFont="1" applyFill="1" applyBorder="1" applyAlignment="1">
      <alignment horizontal="center" vertical="center" wrapText="1"/>
    </xf>
    <xf numFmtId="3" fontId="32" fillId="5" borderId="7" xfId="0" applyNumberFormat="1" applyFont="1" applyFill="1" applyBorder="1" applyAlignment="1">
      <alignment horizontal="center"/>
    </xf>
    <xf numFmtId="3" fontId="33" fillId="3" borderId="6" xfId="0" applyNumberFormat="1" applyFont="1" applyFill="1" applyBorder="1" applyAlignment="1">
      <alignment horizontal="center"/>
    </xf>
    <xf numFmtId="3" fontId="33" fillId="3" borderId="3" xfId="0" applyNumberFormat="1" applyFont="1" applyFill="1" applyBorder="1" applyAlignment="1">
      <alignment horizontal="center"/>
    </xf>
    <xf numFmtId="3" fontId="33" fillId="3" borderId="21" xfId="0" applyNumberFormat="1" applyFont="1" applyFill="1" applyBorder="1" applyAlignment="1">
      <alignment horizontal="center"/>
    </xf>
    <xf numFmtId="3" fontId="33" fillId="30" borderId="2" xfId="0" applyNumberFormat="1" applyFont="1" applyFill="1" applyBorder="1" applyAlignment="1" applyProtection="1">
      <alignment horizontal="left"/>
      <protection locked="0"/>
    </xf>
    <xf numFmtId="3" fontId="33" fillId="30" borderId="5" xfId="0" applyNumberFormat="1" applyFont="1" applyFill="1" applyBorder="1" applyAlignment="1" applyProtection="1">
      <alignment horizontal="left"/>
      <protection locked="0"/>
    </xf>
    <xf numFmtId="3" fontId="6" fillId="5" borderId="26" xfId="11" applyNumberFormat="1" applyFill="1" applyBorder="1" applyAlignment="1" applyProtection="1">
      <alignment horizontal="center" vertical="center" textRotation="90" wrapText="1"/>
    </xf>
    <xf numFmtId="3" fontId="6" fillId="5" borderId="0" xfId="11" applyNumberFormat="1" applyFill="1" applyBorder="1" applyAlignment="1" applyProtection="1">
      <alignment horizontal="center" vertical="center" textRotation="90" wrapText="1"/>
    </xf>
    <xf numFmtId="3" fontId="33" fillId="11" borderId="2" xfId="0" applyNumberFormat="1" applyFont="1" applyFill="1" applyBorder="1" applyAlignment="1" applyProtection="1">
      <alignment horizontal="left" wrapText="1"/>
      <protection locked="0"/>
    </xf>
    <xf numFmtId="3" fontId="33" fillId="11" borderId="7" xfId="0" applyNumberFormat="1" applyFont="1" applyFill="1" applyBorder="1" applyAlignment="1" applyProtection="1">
      <alignment horizontal="left" wrapText="1"/>
      <protection locked="0"/>
    </xf>
    <xf numFmtId="3" fontId="33" fillId="11" borderId="5" xfId="0" applyNumberFormat="1" applyFont="1" applyFill="1" applyBorder="1" applyAlignment="1" applyProtection="1">
      <alignment horizontal="left" wrapText="1"/>
      <protection locked="0"/>
    </xf>
    <xf numFmtId="3" fontId="33" fillId="3" borderId="1" xfId="0" applyNumberFormat="1" applyFont="1" applyFill="1" applyBorder="1" applyAlignment="1">
      <alignment horizontal="center"/>
    </xf>
    <xf numFmtId="3" fontId="75" fillId="32" borderId="67" xfId="0" applyNumberFormat="1" applyFont="1" applyFill="1" applyBorder="1" applyAlignment="1">
      <alignment horizontal="center" vertical="center" wrapText="1"/>
    </xf>
    <xf numFmtId="3" fontId="75" fillId="10" borderId="67" xfId="0" applyNumberFormat="1" applyFont="1" applyFill="1" applyBorder="1" applyAlignment="1">
      <alignment horizontal="center" vertical="center" wrapText="1"/>
    </xf>
    <xf numFmtId="3" fontId="74" fillId="13" borderId="23" xfId="0" applyNumberFormat="1" applyFont="1" applyFill="1" applyBorder="1" applyAlignment="1">
      <alignment horizontal="center"/>
    </xf>
    <xf numFmtId="3" fontId="52" fillId="31" borderId="1" xfId="0" applyNumberFormat="1" applyFont="1" applyFill="1" applyBorder="1" applyAlignment="1">
      <alignment horizontal="center" vertical="center" textRotation="90" wrapText="1"/>
    </xf>
    <xf numFmtId="3" fontId="76" fillId="6" borderId="1" xfId="0" applyNumberFormat="1" applyFont="1" applyFill="1" applyBorder="1" applyAlignment="1">
      <alignment horizontal="center" vertical="center" textRotation="90" wrapText="1"/>
    </xf>
    <xf numFmtId="3" fontId="76" fillId="6" borderId="2" xfId="0" applyNumberFormat="1" applyFont="1" applyFill="1" applyBorder="1" applyAlignment="1">
      <alignment horizontal="center" vertical="center" textRotation="90" wrapText="1"/>
    </xf>
    <xf numFmtId="3" fontId="51" fillId="6" borderId="6" xfId="0" applyNumberFormat="1" applyFont="1" applyFill="1" applyBorder="1" applyAlignment="1">
      <alignment horizontal="center" vertical="center" wrapText="1"/>
    </xf>
    <xf numFmtId="3" fontId="31" fillId="0" borderId="67" xfId="0" applyNumberFormat="1" applyFont="1" applyBorder="1" applyAlignment="1" applyProtection="1">
      <alignment vertical="center" wrapText="1"/>
      <protection locked="0"/>
    </xf>
    <xf numFmtId="3" fontId="31" fillId="0" borderId="67" xfId="0" applyNumberFormat="1" applyFont="1" applyBorder="1" applyAlignment="1" applyProtection="1">
      <alignment horizontal="center" vertical="center" wrapText="1"/>
      <protection locked="0"/>
    </xf>
    <xf numFmtId="3" fontId="77" fillId="3" borderId="67" xfId="14" applyNumberFormat="1" applyFont="1" applyFill="1" applyBorder="1" applyAlignment="1" applyProtection="1">
      <alignment horizontal="right" vertical="center" wrapText="1"/>
    </xf>
    <xf numFmtId="3" fontId="31" fillId="0" borderId="3" xfId="0" applyNumberFormat="1" applyFont="1" applyBorder="1" applyAlignment="1" applyProtection="1">
      <alignment vertical="center" wrapText="1"/>
      <protection locked="0"/>
    </xf>
    <xf numFmtId="3" fontId="31" fillId="0" borderId="1" xfId="0" applyNumberFormat="1" applyFont="1" applyBorder="1" applyAlignment="1" applyProtection="1">
      <alignment vertical="center" wrapText="1"/>
      <protection locked="0"/>
    </xf>
    <xf numFmtId="0" fontId="77" fillId="22" borderId="1" xfId="0" applyFont="1" applyFill="1" applyBorder="1" applyAlignment="1">
      <alignment horizontal="left" vertical="center" wrapText="1"/>
    </xf>
    <xf numFmtId="3" fontId="31" fillId="0" borderId="4" xfId="0" applyNumberFormat="1" applyFont="1" applyBorder="1" applyAlignment="1" applyProtection="1">
      <alignment horizontal="right" vertical="center" wrapText="1"/>
      <protection locked="0"/>
    </xf>
    <xf numFmtId="3" fontId="31" fillId="0" borderId="2" xfId="0" applyNumberFormat="1" applyFont="1" applyBorder="1" applyAlignment="1" applyProtection="1">
      <alignment horizontal="right" vertical="center" wrapText="1"/>
      <protection locked="0"/>
    </xf>
    <xf numFmtId="3" fontId="77" fillId="3" borderId="21" xfId="14" applyNumberFormat="1" applyFont="1" applyFill="1" applyBorder="1" applyAlignment="1" applyProtection="1">
      <alignment horizontal="right" vertical="center" wrapText="1"/>
    </xf>
    <xf numFmtId="3" fontId="77" fillId="3" borderId="3" xfId="14" applyNumberFormat="1" applyFont="1" applyFill="1" applyBorder="1" applyAlignment="1" applyProtection="1">
      <alignment horizontal="right" vertical="center" wrapText="1"/>
    </xf>
    <xf numFmtId="3" fontId="77" fillId="3" borderId="1" xfId="14" applyNumberFormat="1" applyFont="1" applyFill="1" applyBorder="1" applyAlignment="1" applyProtection="1">
      <alignment horizontal="right" vertical="center" wrapText="1"/>
    </xf>
    <xf numFmtId="3" fontId="76" fillId="17" borderId="1" xfId="0" applyNumberFormat="1" applyFont="1" applyFill="1" applyBorder="1" applyAlignment="1">
      <alignment horizontal="center" vertical="center" textRotation="90" wrapText="1"/>
    </xf>
    <xf numFmtId="3" fontId="31" fillId="0" borderId="6" xfId="0" applyNumberFormat="1" applyFont="1" applyBorder="1" applyAlignment="1" applyProtection="1">
      <alignment horizontal="center" vertical="center" wrapText="1"/>
      <protection locked="0"/>
    </xf>
    <xf numFmtId="3" fontId="31" fillId="0" borderId="21" xfId="0" applyNumberFormat="1" applyFont="1" applyBorder="1" applyAlignment="1" applyProtection="1">
      <alignment horizontal="center" vertical="center" wrapText="1"/>
      <protection locked="0"/>
    </xf>
    <xf numFmtId="3" fontId="31" fillId="0" borderId="22" xfId="0" applyNumberFormat="1" applyFont="1" applyBorder="1" applyAlignment="1" applyProtection="1">
      <alignment horizontal="center" vertical="center" wrapText="1"/>
      <protection locked="0"/>
    </xf>
    <xf numFmtId="3" fontId="31" fillId="0" borderId="17" xfId="0" applyNumberFormat="1" applyFont="1" applyBorder="1" applyAlignment="1" applyProtection="1">
      <alignment horizontal="center" vertical="center" wrapText="1"/>
      <protection locked="0"/>
    </xf>
    <xf numFmtId="3" fontId="31" fillId="3" borderId="1" xfId="0" applyNumberFormat="1" applyFont="1" applyFill="1" applyBorder="1" applyAlignment="1">
      <alignment horizontal="center"/>
    </xf>
    <xf numFmtId="3" fontId="76" fillId="17" borderId="6" xfId="0" applyNumberFormat="1" applyFont="1" applyFill="1" applyBorder="1" applyAlignment="1">
      <alignment horizontal="center" vertical="center" textRotation="90" wrapText="1"/>
    </xf>
    <xf numFmtId="0" fontId="19" fillId="5" borderId="25" xfId="11" applyFont="1" applyFill="1" applyBorder="1" applyAlignment="1" applyProtection="1">
      <alignment horizontal="center" vertical="center" textRotation="90" wrapText="1"/>
    </xf>
    <xf numFmtId="3" fontId="79" fillId="3" borderId="64" xfId="0" applyNumberFormat="1" applyFont="1" applyFill="1" applyBorder="1" applyAlignment="1">
      <alignment horizontal="center" vertical="center" wrapText="1"/>
    </xf>
    <xf numFmtId="3" fontId="79" fillId="3" borderId="66" xfId="0" applyNumberFormat="1" applyFont="1" applyFill="1" applyBorder="1" applyAlignment="1">
      <alignment horizontal="center" vertical="center" wrapText="1"/>
    </xf>
    <xf numFmtId="3" fontId="79" fillId="3" borderId="65" xfId="0" applyNumberFormat="1" applyFont="1" applyFill="1" applyBorder="1" applyAlignment="1">
      <alignment horizontal="center" vertical="center" wrapText="1"/>
    </xf>
    <xf numFmtId="0" fontId="6" fillId="5" borderId="0" xfId="11" applyFill="1" applyBorder="1" applyAlignment="1" applyProtection="1">
      <alignment horizontal="center" vertical="center" textRotation="90" wrapText="1"/>
    </xf>
    <xf numFmtId="0" fontId="6" fillId="5" borderId="25" xfId="11" applyFill="1" applyBorder="1" applyAlignment="1" applyProtection="1">
      <alignment horizontal="center" vertical="center" textRotation="90" wrapText="1"/>
    </xf>
    <xf numFmtId="3" fontId="17" fillId="3" borderId="2" xfId="0" applyNumberFormat="1" applyFont="1" applyFill="1" applyBorder="1" applyAlignment="1">
      <alignment horizontal="center" vertical="center" wrapText="1"/>
    </xf>
    <xf numFmtId="3" fontId="17" fillId="3" borderId="7" xfId="0" applyNumberFormat="1" applyFont="1" applyFill="1" applyBorder="1" applyAlignment="1">
      <alignment horizontal="center" vertical="center" wrapText="1"/>
    </xf>
    <xf numFmtId="3" fontId="17" fillId="3" borderId="5" xfId="0" applyNumberFormat="1" applyFont="1" applyFill="1" applyBorder="1" applyAlignment="1">
      <alignment horizontal="center" vertical="center" wrapText="1"/>
    </xf>
    <xf numFmtId="3" fontId="11" fillId="3" borderId="2" xfId="0" applyNumberFormat="1" applyFont="1" applyFill="1" applyBorder="1" applyAlignment="1">
      <alignment horizontal="center" vertical="center" wrapText="1"/>
    </xf>
    <xf numFmtId="3" fontId="11" fillId="3" borderId="7" xfId="0" applyNumberFormat="1" applyFont="1" applyFill="1" applyBorder="1" applyAlignment="1">
      <alignment horizontal="center" vertical="center" wrapText="1"/>
    </xf>
    <xf numFmtId="3" fontId="11" fillId="3" borderId="5" xfId="0" applyNumberFormat="1"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3" xfId="0" applyFont="1" applyFill="1" applyBorder="1" applyAlignment="1">
      <alignment horizontal="center" vertical="center" wrapText="1"/>
    </xf>
    <xf numFmtId="0" fontId="16" fillId="5" borderId="16" xfId="0" applyFont="1" applyFill="1" applyBorder="1" applyAlignment="1">
      <alignment horizontal="center" vertical="center" wrapText="1"/>
    </xf>
    <xf numFmtId="3" fontId="31" fillId="0" borderId="1" xfId="0" applyNumberFormat="1" applyFont="1" applyBorder="1" applyAlignment="1">
      <alignment horizontal="left"/>
    </xf>
    <xf numFmtId="3" fontId="51" fillId="0" borderId="1" xfId="0" applyNumberFormat="1" applyFont="1" applyBorder="1" applyAlignment="1">
      <alignment horizontal="left" vertical="center" wrapText="1"/>
    </xf>
    <xf numFmtId="3" fontId="51" fillId="0" borderId="1" xfId="0" applyNumberFormat="1" applyFont="1" applyBorder="1" applyAlignment="1">
      <alignment horizontal="right" vertical="center" wrapText="1"/>
    </xf>
    <xf numFmtId="3" fontId="51" fillId="0" borderId="1" xfId="0" applyNumberFormat="1" applyFont="1" applyBorder="1" applyAlignment="1">
      <alignment horizontal="left"/>
    </xf>
    <xf numFmtId="0" fontId="51" fillId="35" borderId="68" xfId="0" applyFont="1" applyFill="1" applyBorder="1" applyAlignment="1" applyProtection="1">
      <alignment horizontal="left" vertical="center" wrapText="1"/>
      <protection locked="0"/>
    </xf>
    <xf numFmtId="0" fontId="51" fillId="35" borderId="69" xfId="0" applyFont="1" applyFill="1" applyBorder="1" applyAlignment="1" applyProtection="1">
      <alignment horizontal="left" vertical="center" wrapText="1"/>
      <protection locked="0"/>
    </xf>
    <xf numFmtId="0" fontId="51" fillId="35" borderId="70" xfId="0" applyFont="1" applyFill="1" applyBorder="1" applyAlignment="1" applyProtection="1">
      <alignment horizontal="left" vertical="center" wrapText="1"/>
      <protection locked="0"/>
    </xf>
    <xf numFmtId="3" fontId="32" fillId="3" borderId="2" xfId="0" applyNumberFormat="1" applyFont="1" applyFill="1" applyBorder="1" applyAlignment="1">
      <alignment horizontal="left"/>
    </xf>
    <xf numFmtId="3" fontId="32" fillId="3" borderId="5" xfId="0" applyNumberFormat="1" applyFont="1" applyFill="1" applyBorder="1" applyAlignment="1">
      <alignment horizontal="left"/>
    </xf>
    <xf numFmtId="3" fontId="32" fillId="6" borderId="1" xfId="0" applyNumberFormat="1" applyFont="1" applyFill="1" applyBorder="1" applyAlignment="1">
      <alignment horizontal="center"/>
    </xf>
    <xf numFmtId="3" fontId="32" fillId="5" borderId="2" xfId="0" applyNumberFormat="1" applyFont="1" applyFill="1" applyBorder="1" applyAlignment="1" applyProtection="1">
      <alignment horizontal="left"/>
      <protection locked="0"/>
    </xf>
    <xf numFmtId="3" fontId="32" fillId="5" borderId="7" xfId="0" applyNumberFormat="1" applyFont="1" applyFill="1" applyBorder="1" applyAlignment="1" applyProtection="1">
      <alignment horizontal="left"/>
      <protection locked="0"/>
    </xf>
    <xf numFmtId="3" fontId="32" fillId="5" borderId="5" xfId="0" applyNumberFormat="1" applyFont="1" applyFill="1" applyBorder="1" applyAlignment="1" applyProtection="1">
      <alignment horizontal="left"/>
      <protection locked="0"/>
    </xf>
    <xf numFmtId="0" fontId="48" fillId="13" borderId="10" xfId="11" applyFont="1" applyFill="1" applyBorder="1" applyAlignment="1" applyProtection="1">
      <alignment horizontal="center" vertical="center" wrapText="1"/>
    </xf>
    <xf numFmtId="0" fontId="48" fillId="13" borderId="8" xfId="11" applyFont="1" applyFill="1" applyBorder="1" applyAlignment="1" applyProtection="1">
      <alignment horizontal="center" vertical="center" wrapText="1"/>
    </xf>
    <xf numFmtId="0" fontId="48" fillId="13" borderId="13" xfId="11" applyFont="1" applyFill="1" applyBorder="1" applyAlignment="1" applyProtection="1">
      <alignment horizontal="center" vertical="center" wrapText="1"/>
    </xf>
    <xf numFmtId="0" fontId="48" fillId="13" borderId="11" xfId="11" applyFont="1" applyFill="1" applyBorder="1" applyAlignment="1" applyProtection="1">
      <alignment horizontal="center" vertical="center" wrapText="1"/>
    </xf>
    <xf numFmtId="0" fontId="48" fillId="13" borderId="1" xfId="11" applyFont="1" applyFill="1" applyBorder="1" applyAlignment="1" applyProtection="1">
      <alignment horizontal="center" vertical="center" wrapText="1"/>
    </xf>
    <xf numFmtId="0" fontId="48" fillId="13" borderId="14" xfId="11" applyFont="1" applyFill="1" applyBorder="1" applyAlignment="1" applyProtection="1">
      <alignment horizontal="center" vertical="center" wrapText="1"/>
    </xf>
    <xf numFmtId="0" fontId="25" fillId="0" borderId="27" xfId="0" applyFont="1" applyBorder="1" applyAlignment="1">
      <alignment horizontal="left" vertical="center" wrapText="1"/>
    </xf>
    <xf numFmtId="0" fontId="25" fillId="0" borderId="7" xfId="0" applyFont="1" applyBorder="1" applyAlignment="1">
      <alignment horizontal="left" vertical="center" wrapText="1"/>
    </xf>
    <xf numFmtId="0" fontId="25" fillId="0" borderId="5" xfId="0" applyFont="1" applyBorder="1" applyAlignment="1">
      <alignment horizontal="left" vertical="center" wrapText="1"/>
    </xf>
    <xf numFmtId="0" fontId="25" fillId="0" borderId="27" xfId="0" applyFont="1" applyBorder="1" applyAlignment="1">
      <alignment horizontal="left" vertical="top" wrapText="1"/>
    </xf>
    <xf numFmtId="0" fontId="25" fillId="0" borderId="7" xfId="0" applyFont="1" applyBorder="1" applyAlignment="1">
      <alignment horizontal="left" vertical="top" wrapText="1"/>
    </xf>
    <xf numFmtId="0" fontId="25" fillId="0" borderId="5" xfId="0" applyFont="1" applyBorder="1" applyAlignment="1">
      <alignment horizontal="left" vertical="top" wrapText="1"/>
    </xf>
    <xf numFmtId="0" fontId="47" fillId="0" borderId="28" xfId="0" applyFont="1" applyBorder="1" applyAlignment="1">
      <alignment horizontal="left" vertical="center" wrapText="1"/>
    </xf>
    <xf numFmtId="0" fontId="47" fillId="0" borderId="3" xfId="0" applyFont="1" applyBorder="1" applyAlignment="1">
      <alignment horizontal="left" vertical="center" wrapText="1"/>
    </xf>
    <xf numFmtId="0" fontId="26" fillId="0" borderId="27" xfId="0" applyFont="1" applyBorder="1" applyAlignment="1">
      <alignment horizontal="left" vertical="center" wrapText="1"/>
    </xf>
    <xf numFmtId="0" fontId="26" fillId="0" borderId="7" xfId="0" applyFont="1" applyBorder="1" applyAlignment="1">
      <alignment horizontal="left" vertical="center" wrapText="1"/>
    </xf>
    <xf numFmtId="0" fontId="26" fillId="0" borderId="5" xfId="0" applyFont="1" applyBorder="1" applyAlignment="1">
      <alignment horizontal="left" vertical="center" wrapText="1"/>
    </xf>
    <xf numFmtId="0" fontId="46" fillId="0" borderId="11" xfId="0" applyFont="1" applyBorder="1" applyAlignment="1">
      <alignment horizontal="left" vertical="center" wrapText="1"/>
    </xf>
    <xf numFmtId="0" fontId="46" fillId="0" borderId="1" xfId="0" applyFont="1" applyBorder="1" applyAlignment="1">
      <alignment horizontal="left" vertical="center" wrapText="1"/>
    </xf>
    <xf numFmtId="0" fontId="47" fillId="0" borderId="27" xfId="0" applyFont="1" applyBorder="1" applyAlignment="1">
      <alignment horizontal="left" vertical="center" wrapText="1"/>
    </xf>
    <xf numFmtId="0" fontId="47" fillId="0" borderId="7" xfId="0" applyFont="1" applyBorder="1" applyAlignment="1">
      <alignment horizontal="left" vertical="center" wrapText="1"/>
    </xf>
    <xf numFmtId="0" fontId="47" fillId="0" borderId="5" xfId="0" applyFont="1" applyBorder="1" applyAlignment="1">
      <alignment horizontal="left" vertical="center" wrapText="1"/>
    </xf>
    <xf numFmtId="0" fontId="25" fillId="0" borderId="29" xfId="0" applyFont="1" applyBorder="1" applyAlignment="1">
      <alignment horizontal="left" vertical="center" wrapText="1"/>
    </xf>
    <xf numFmtId="0" fontId="32" fillId="3" borderId="1" xfId="0" applyFont="1" applyFill="1" applyBorder="1" applyAlignment="1">
      <alignment horizontal="center" vertical="center" wrapText="1"/>
    </xf>
    <xf numFmtId="3" fontId="32" fillId="2" borderId="1" xfId="0" applyNumberFormat="1" applyFont="1" applyFill="1" applyBorder="1" applyAlignment="1">
      <alignment horizontal="center"/>
    </xf>
    <xf numFmtId="3" fontId="32" fillId="5" borderId="1" xfId="0" applyNumberFormat="1" applyFont="1" applyFill="1" applyBorder="1" applyAlignment="1">
      <alignment horizontal="left" vertical="center" wrapText="1"/>
    </xf>
    <xf numFmtId="3" fontId="33" fillId="28" borderId="2" xfId="0" applyNumberFormat="1" applyFont="1" applyFill="1" applyBorder="1" applyProtection="1">
      <protection locked="0"/>
    </xf>
    <xf numFmtId="3" fontId="33" fillId="28" borderId="5" xfId="0" applyNumberFormat="1" applyFont="1" applyFill="1" applyBorder="1" applyProtection="1">
      <protection locked="0"/>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3" fontId="3" fillId="0" borderId="57" xfId="0" applyNumberFormat="1" applyFont="1" applyBorder="1" applyAlignment="1">
      <alignment horizontal="left" vertical="center" wrapText="1"/>
    </xf>
    <xf numFmtId="3" fontId="3" fillId="0" borderId="7" xfId="0" applyNumberFormat="1" applyFont="1" applyBorder="1" applyAlignment="1">
      <alignment horizontal="left" vertical="center" wrapText="1"/>
    </xf>
    <xf numFmtId="3" fontId="3" fillId="0" borderId="5" xfId="0" applyNumberFormat="1" applyFont="1" applyBorder="1" applyAlignment="1">
      <alignment horizontal="left" vertical="center" wrapText="1"/>
    </xf>
    <xf numFmtId="3" fontId="3" fillId="0" borderId="58" xfId="0" applyNumberFormat="1" applyFont="1" applyBorder="1" applyAlignment="1">
      <alignment horizontal="left" vertical="center" wrapText="1"/>
    </xf>
    <xf numFmtId="3" fontId="3" fillId="0" borderId="59" xfId="0" applyNumberFormat="1" applyFont="1" applyBorder="1" applyAlignment="1">
      <alignment horizontal="left" vertical="center" wrapText="1"/>
    </xf>
    <xf numFmtId="3" fontId="3" fillId="0" borderId="60" xfId="0" applyNumberFormat="1" applyFont="1" applyBorder="1" applyAlignment="1">
      <alignment horizontal="left" vertical="center" wrapText="1"/>
    </xf>
    <xf numFmtId="3" fontId="3" fillId="0" borderId="54" xfId="0" applyNumberFormat="1" applyFont="1" applyBorder="1" applyAlignment="1">
      <alignment horizontal="left" vertical="center" wrapText="1"/>
    </xf>
    <xf numFmtId="3" fontId="3" fillId="0" borderId="55" xfId="0" applyNumberFormat="1" applyFont="1" applyBorder="1" applyAlignment="1">
      <alignment horizontal="left" vertical="center" wrapText="1"/>
    </xf>
    <xf numFmtId="3" fontId="3" fillId="0" borderId="56" xfId="0" applyNumberFormat="1" applyFont="1" applyBorder="1" applyAlignment="1">
      <alignment horizontal="left" vertical="center" wrapText="1"/>
    </xf>
    <xf numFmtId="3" fontId="11" fillId="0" borderId="1" xfId="0" applyNumberFormat="1" applyFont="1" applyBorder="1" applyAlignment="1">
      <alignment horizontal="center" vertical="center" wrapText="1"/>
    </xf>
    <xf numFmtId="3" fontId="3" fillId="0" borderId="1" xfId="1" applyNumberFormat="1" applyFont="1" applyFill="1" applyBorder="1" applyAlignment="1" applyProtection="1">
      <alignment horizontal="center" vertical="center" wrapText="1"/>
    </xf>
    <xf numFmtId="3" fontId="3" fillId="0" borderId="47" xfId="0" applyNumberFormat="1" applyFont="1" applyBorder="1" applyAlignment="1">
      <alignment horizontal="left" vertical="center" wrapText="1"/>
    </xf>
    <xf numFmtId="3" fontId="3" fillId="0" borderId="48" xfId="0" applyNumberFormat="1" applyFont="1" applyBorder="1" applyAlignment="1">
      <alignment horizontal="left" vertical="center" wrapText="1"/>
    </xf>
    <xf numFmtId="3" fontId="3" fillId="0" borderId="49" xfId="0" applyNumberFormat="1" applyFont="1" applyBorder="1" applyAlignment="1">
      <alignment horizontal="left" vertical="center" wrapText="1"/>
    </xf>
    <xf numFmtId="3" fontId="3" fillId="0" borderId="50" xfId="0" applyNumberFormat="1" applyFont="1" applyBorder="1" applyAlignment="1">
      <alignment horizontal="left" vertical="center" wrapText="1"/>
    </xf>
    <xf numFmtId="3" fontId="3" fillId="0" borderId="51" xfId="0" applyNumberFormat="1" applyFont="1" applyBorder="1" applyAlignment="1">
      <alignment horizontal="left" vertical="center" wrapText="1"/>
    </xf>
    <xf numFmtId="3" fontId="3" fillId="0" borderId="52" xfId="0" applyNumberFormat="1" applyFont="1" applyBorder="1" applyAlignment="1">
      <alignment horizontal="left" vertical="center" wrapText="1"/>
    </xf>
    <xf numFmtId="3" fontId="3" fillId="0" borderId="53" xfId="0" applyNumberFormat="1" applyFont="1" applyBorder="1" applyAlignment="1">
      <alignment horizontal="left" vertical="center" wrapText="1"/>
    </xf>
    <xf numFmtId="3" fontId="3" fillId="0" borderId="43" xfId="0" applyNumberFormat="1" applyFont="1" applyBorder="1" applyAlignment="1">
      <alignment horizontal="left" vertical="center" wrapText="1"/>
    </xf>
    <xf numFmtId="3" fontId="3" fillId="0" borderId="44" xfId="0" applyNumberFormat="1" applyFont="1" applyBorder="1" applyAlignment="1">
      <alignment horizontal="lef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3" fontId="11" fillId="4" borderId="5" xfId="0" applyNumberFormat="1" applyFont="1" applyFill="1" applyBorder="1" applyAlignment="1">
      <alignment horizontal="center" vertical="center" wrapText="1"/>
    </xf>
    <xf numFmtId="3" fontId="11" fillId="4" borderId="1" xfId="0" applyNumberFormat="1" applyFont="1" applyFill="1" applyBorder="1" applyAlignment="1">
      <alignment horizontal="center" vertical="center" wrapText="1"/>
    </xf>
    <xf numFmtId="3" fontId="3" fillId="4" borderId="1" xfId="1" applyNumberFormat="1" applyFont="1" applyFill="1" applyBorder="1" applyAlignment="1" applyProtection="1">
      <alignment horizontal="center" vertical="center" wrapText="1"/>
    </xf>
    <xf numFmtId="3" fontId="3" fillId="0" borderId="41" xfId="0" applyNumberFormat="1" applyFont="1" applyBorder="1" applyAlignment="1">
      <alignment horizontal="left" vertical="center" wrapText="1"/>
    </xf>
    <xf numFmtId="3" fontId="3" fillId="0" borderId="42" xfId="0" applyNumberFormat="1" applyFont="1" applyBorder="1" applyAlignment="1">
      <alignment horizontal="left" vertical="center" wrapText="1"/>
    </xf>
    <xf numFmtId="3" fontId="3" fillId="0" borderId="1" xfId="0" applyNumberFormat="1" applyFont="1" applyBorder="1" applyAlignment="1">
      <alignment horizontal="left" vertical="center" wrapText="1"/>
    </xf>
    <xf numFmtId="3" fontId="3" fillId="0" borderId="45" xfId="0" applyNumberFormat="1" applyFont="1" applyBorder="1" applyAlignment="1">
      <alignment horizontal="left" vertical="center" wrapText="1"/>
    </xf>
    <xf numFmtId="3" fontId="3" fillId="0" borderId="46" xfId="0" applyNumberFormat="1" applyFont="1" applyBorder="1" applyAlignment="1">
      <alignment horizontal="left" vertical="center" wrapText="1"/>
    </xf>
    <xf numFmtId="3" fontId="43" fillId="13" borderId="0" xfId="0" applyNumberFormat="1" applyFont="1" applyFill="1" applyAlignment="1">
      <alignment horizontal="center" vertical="center" wrapText="1"/>
    </xf>
    <xf numFmtId="3" fontId="3" fillId="0" borderId="61" xfId="0" applyNumberFormat="1" applyFont="1" applyBorder="1" applyAlignment="1">
      <alignment horizontal="left" vertical="center" wrapText="1"/>
    </xf>
    <xf numFmtId="3" fontId="3" fillId="0" borderId="62" xfId="0" applyNumberFormat="1" applyFont="1" applyBorder="1" applyAlignment="1">
      <alignment horizontal="left" vertical="center" wrapText="1"/>
    </xf>
    <xf numFmtId="0" fontId="28" fillId="16" borderId="8" xfId="0" applyFont="1" applyFill="1" applyBorder="1" applyAlignment="1">
      <alignment horizontal="center" wrapText="1"/>
    </xf>
    <xf numFmtId="0" fontId="28" fillId="16" borderId="1" xfId="0" applyFont="1" applyFill="1" applyBorder="1" applyAlignment="1">
      <alignment horizontal="center" wrapText="1"/>
    </xf>
    <xf numFmtId="0" fontId="28" fillId="16" borderId="13" xfId="0" applyFont="1" applyFill="1" applyBorder="1" applyAlignment="1">
      <alignment horizontal="center" wrapText="1"/>
    </xf>
    <xf numFmtId="0" fontId="28" fillId="16" borderId="14" xfId="0" applyFont="1" applyFill="1" applyBorder="1" applyAlignment="1">
      <alignment horizontal="center" wrapText="1"/>
    </xf>
    <xf numFmtId="3" fontId="32" fillId="17" borderId="2" xfId="0" applyNumberFormat="1" applyFont="1" applyFill="1" applyBorder="1" applyAlignment="1">
      <alignment horizontal="left" wrapText="1"/>
    </xf>
    <xf numFmtId="3" fontId="32" fillId="17" borderId="7" xfId="0" applyNumberFormat="1" applyFont="1" applyFill="1" applyBorder="1" applyAlignment="1">
      <alignment horizontal="left"/>
    </xf>
    <xf numFmtId="3" fontId="32" fillId="17" borderId="5" xfId="0" applyNumberFormat="1" applyFont="1" applyFill="1" applyBorder="1" applyAlignment="1">
      <alignment horizontal="left"/>
    </xf>
    <xf numFmtId="3" fontId="32" fillId="5" borderId="23" xfId="0" applyNumberFormat="1" applyFont="1" applyFill="1" applyBorder="1" applyAlignment="1">
      <alignment horizontal="center"/>
    </xf>
    <xf numFmtId="3" fontId="32" fillId="5" borderId="16" xfId="0" applyNumberFormat="1" applyFont="1" applyFill="1" applyBorder="1" applyAlignment="1">
      <alignment horizontal="center"/>
    </xf>
    <xf numFmtId="3" fontId="32" fillId="3" borderId="24" xfId="11" applyNumberFormat="1" applyFont="1" applyFill="1" applyBorder="1" applyAlignment="1" applyProtection="1">
      <alignment horizontal="center" vertical="center" wrapText="1"/>
    </xf>
    <xf numFmtId="3" fontId="32" fillId="3" borderId="25" xfId="11" applyNumberFormat="1" applyFont="1" applyFill="1" applyBorder="1" applyAlignment="1" applyProtection="1">
      <alignment horizontal="center" vertical="center" wrapText="1"/>
    </xf>
    <xf numFmtId="3" fontId="32" fillId="3" borderId="16" xfId="11" applyNumberFormat="1" applyFont="1" applyFill="1" applyBorder="1" applyAlignment="1" applyProtection="1">
      <alignment horizontal="center" vertical="center" wrapText="1"/>
    </xf>
    <xf numFmtId="3" fontId="32" fillId="17" borderId="2" xfId="0" applyNumberFormat="1" applyFont="1" applyFill="1" applyBorder="1" applyAlignment="1">
      <alignment horizontal="left"/>
    </xf>
    <xf numFmtId="3" fontId="32" fillId="17" borderId="1" xfId="0" applyNumberFormat="1" applyFont="1" applyFill="1" applyBorder="1"/>
    <xf numFmtId="0" fontId="16" fillId="5" borderId="1" xfId="0" applyFont="1" applyFill="1" applyBorder="1" applyAlignment="1">
      <alignment horizontal="center" vertical="center" wrapText="1"/>
    </xf>
    <xf numFmtId="0" fontId="6" fillId="0" borderId="3" xfId="11" applyFill="1" applyBorder="1" applyAlignment="1" applyProtection="1">
      <alignment horizontal="center" vertical="center" textRotation="90" wrapText="1"/>
    </xf>
    <xf numFmtId="0" fontId="6" fillId="0" borderId="1" xfId="11" applyFill="1" applyBorder="1" applyAlignment="1" applyProtection="1">
      <alignment horizontal="center" vertical="center" textRotation="90" wrapText="1"/>
    </xf>
  </cellXfs>
  <cellStyles count="44">
    <cellStyle name="Comma [0] 2" xfId="43" xr:uid="{00000000-0005-0000-0000-000000000000}"/>
    <cellStyle name="Euro" xfId="5" xr:uid="{00000000-0005-0000-0000-000001000000}"/>
    <cellStyle name="Euro 2" xfId="6" xr:uid="{00000000-0005-0000-0000-000002000000}"/>
    <cellStyle name="Hipervínculo" xfId="11" builtinId="8"/>
    <cellStyle name="Hipervínculo 2" xfId="7" xr:uid="{00000000-0005-0000-0000-000004000000}"/>
    <cellStyle name="Hipervínculo 2 2" xfId="8" xr:uid="{00000000-0005-0000-0000-000005000000}"/>
    <cellStyle name="Hipervínculo 3" xfId="9" xr:uid="{00000000-0005-0000-0000-000006000000}"/>
    <cellStyle name="Hipervínculo 4" xfId="10" xr:uid="{00000000-0005-0000-0000-000007000000}"/>
    <cellStyle name="Millares" xfId="1" builtinId="3"/>
    <cellStyle name="Millares [0]" xfId="2" builtinId="6"/>
    <cellStyle name="Millares [0] 2" xfId="12" xr:uid="{00000000-0005-0000-0000-00000A000000}"/>
    <cellStyle name="Millares [0] 2 2" xfId="42" xr:uid="{00000000-0005-0000-0000-00000B000000}"/>
    <cellStyle name="Millares [0] 3" xfId="13" xr:uid="{00000000-0005-0000-0000-00000C000000}"/>
    <cellStyle name="Millares 2" xfId="14" xr:uid="{00000000-0005-0000-0000-00000D000000}"/>
    <cellStyle name="Millares 2 2" xfId="15" xr:uid="{00000000-0005-0000-0000-00000E000000}"/>
    <cellStyle name="Millares 2 3" xfId="16" xr:uid="{00000000-0005-0000-0000-00000F000000}"/>
    <cellStyle name="Millares 3" xfId="17" xr:uid="{00000000-0005-0000-0000-000010000000}"/>
    <cellStyle name="Millares 4" xfId="18" xr:uid="{00000000-0005-0000-0000-000011000000}"/>
    <cellStyle name="Millares 5" xfId="19" xr:uid="{00000000-0005-0000-0000-000012000000}"/>
    <cellStyle name="Millares 6" xfId="20" xr:uid="{00000000-0005-0000-0000-000013000000}"/>
    <cellStyle name="Moneda" xfId="3" builtinId="4"/>
    <cellStyle name="Moneda [0]" xfId="4" builtinId="7"/>
    <cellStyle name="Moneda [0] 2" xfId="21" xr:uid="{00000000-0005-0000-0000-000016000000}"/>
    <cellStyle name="Moneda [0] 3" xfId="40" xr:uid="{00000000-0005-0000-0000-000017000000}"/>
    <cellStyle name="Moneda [0] 4" xfId="41" xr:uid="{00000000-0005-0000-0000-000018000000}"/>
    <cellStyle name="Moneda 2" xfId="22" xr:uid="{00000000-0005-0000-0000-000019000000}"/>
    <cellStyle name="Moneda 2 2" xfId="23" xr:uid="{00000000-0005-0000-0000-00001A000000}"/>
    <cellStyle name="Normal" xfId="0" builtinId="0"/>
    <cellStyle name="Normal 2" xfId="24" xr:uid="{00000000-0005-0000-0000-00001C000000}"/>
    <cellStyle name="Normal 2 2" xfId="25" xr:uid="{00000000-0005-0000-0000-00001D000000}"/>
    <cellStyle name="Normal 2 3" xfId="26" xr:uid="{00000000-0005-0000-0000-00001E000000}"/>
    <cellStyle name="Normal 2 4" xfId="27" xr:uid="{00000000-0005-0000-0000-00001F000000}"/>
    <cellStyle name="Normal 3" xfId="28" xr:uid="{00000000-0005-0000-0000-000020000000}"/>
    <cellStyle name="Normal 3 2" xfId="29" xr:uid="{00000000-0005-0000-0000-000021000000}"/>
    <cellStyle name="Normal 3 2 2" xfId="30" xr:uid="{00000000-0005-0000-0000-000022000000}"/>
    <cellStyle name="Normal 3 3" xfId="31" xr:uid="{00000000-0005-0000-0000-000023000000}"/>
    <cellStyle name="Normal 3 4" xfId="32" xr:uid="{00000000-0005-0000-0000-000024000000}"/>
    <cellStyle name="Normal 4" xfId="33" xr:uid="{00000000-0005-0000-0000-000025000000}"/>
    <cellStyle name="Normal 5" xfId="39" xr:uid="{00000000-0005-0000-0000-000026000000}"/>
    <cellStyle name="Porcentaje" xfId="34" builtinId="5"/>
    <cellStyle name="Porcentaje 2" xfId="35" xr:uid="{00000000-0005-0000-0000-000028000000}"/>
    <cellStyle name="Porcentaje 2 2" xfId="36" xr:uid="{00000000-0005-0000-0000-000029000000}"/>
    <cellStyle name="Porcentaje 3" xfId="37" xr:uid="{00000000-0005-0000-0000-00002A000000}"/>
    <cellStyle name="Porcentual 2" xfId="38" xr:uid="{00000000-0005-0000-0000-00002B000000}"/>
  </cellStyles>
  <dxfs count="0"/>
  <tableStyles count="0" defaultTableStyle="TableStyleMedium9" defaultPivotStyle="PivotStyleLight16"/>
  <colors>
    <mruColors>
      <color rgb="FFF5FC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56131</xdr:colOff>
      <xdr:row>0</xdr:row>
      <xdr:rowOff>1</xdr:rowOff>
    </xdr:from>
    <xdr:to>
      <xdr:col>4</xdr:col>
      <xdr:colOff>418081</xdr:colOff>
      <xdr:row>3</xdr:row>
      <xdr:rowOff>183745</xdr:rowOff>
    </xdr:to>
    <xdr:pic>
      <xdr:nvPicPr>
        <xdr:cNvPr id="2" name="Imagen 1">
          <a:extLst>
            <a:ext uri="{FF2B5EF4-FFF2-40B4-BE49-F238E27FC236}">
              <a16:creationId xmlns:a16="http://schemas.microsoft.com/office/drawing/2014/main" id="{7D762E50-41A7-0DAC-9E65-B162E07BCEEA}"/>
            </a:ext>
          </a:extLst>
        </xdr:cNvPr>
        <xdr:cNvPicPr>
          <a:picLocks noChangeAspect="1"/>
        </xdr:cNvPicPr>
      </xdr:nvPicPr>
      <xdr:blipFill>
        <a:blip xmlns:r="http://schemas.openxmlformats.org/officeDocument/2006/relationships" r:embed="rId1"/>
        <a:stretch>
          <a:fillRect/>
        </a:stretch>
      </xdr:blipFill>
      <xdr:spPr>
        <a:xfrm>
          <a:off x="5541450" y="1"/>
          <a:ext cx="1188801" cy="778212"/>
        </a:xfrm>
        <a:prstGeom prst="rect">
          <a:avLst/>
        </a:prstGeom>
      </xdr:spPr>
    </xdr:pic>
    <xdr:clientData/>
  </xdr:twoCellAnchor>
  <xdr:twoCellAnchor editAs="oneCell">
    <xdr:from>
      <xdr:col>0</xdr:col>
      <xdr:colOff>0</xdr:colOff>
      <xdr:row>0</xdr:row>
      <xdr:rowOff>0</xdr:rowOff>
    </xdr:from>
    <xdr:to>
      <xdr:col>3</xdr:col>
      <xdr:colOff>48638</xdr:colOff>
      <xdr:row>3</xdr:row>
      <xdr:rowOff>185099</xdr:rowOff>
    </xdr:to>
    <xdr:pic>
      <xdr:nvPicPr>
        <xdr:cNvPr id="4" name="Imagen 3">
          <a:extLst>
            <a:ext uri="{FF2B5EF4-FFF2-40B4-BE49-F238E27FC236}">
              <a16:creationId xmlns:a16="http://schemas.microsoft.com/office/drawing/2014/main" id="{E7BB85C2-1E49-9133-6A53-90ED73143A48}"/>
            </a:ext>
          </a:extLst>
        </xdr:cNvPr>
        <xdr:cNvPicPr>
          <a:picLocks noChangeAspect="1"/>
        </xdr:cNvPicPr>
      </xdr:nvPicPr>
      <xdr:blipFill>
        <a:blip xmlns:r="http://schemas.openxmlformats.org/officeDocument/2006/relationships" r:embed="rId2"/>
        <a:stretch>
          <a:fillRect/>
        </a:stretch>
      </xdr:blipFill>
      <xdr:spPr>
        <a:xfrm>
          <a:off x="0" y="0"/>
          <a:ext cx="5533957" cy="7795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72570</xdr:colOff>
      <xdr:row>1</xdr:row>
      <xdr:rowOff>63500</xdr:rowOff>
    </xdr:from>
    <xdr:ext cx="2330687" cy="693128"/>
    <xdr:pic>
      <xdr:nvPicPr>
        <xdr:cNvPr id="2" name="Imagen 1">
          <a:extLst>
            <a:ext uri="{FF2B5EF4-FFF2-40B4-BE49-F238E27FC236}">
              <a16:creationId xmlns:a16="http://schemas.microsoft.com/office/drawing/2014/main" id="{3B94124F-8E4D-C84D-86C4-237087C4C3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8070" y="635000"/>
          <a:ext cx="2330687" cy="69312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28575</xdr:colOff>
      <xdr:row>23</xdr:row>
      <xdr:rowOff>190500</xdr:rowOff>
    </xdr:from>
    <xdr:to>
      <xdr:col>2</xdr:col>
      <xdr:colOff>666750</xdr:colOff>
      <xdr:row>23</xdr:row>
      <xdr:rowOff>203418</xdr:rowOff>
    </xdr:to>
    <xdr:sp macro="" textlink="">
      <xdr:nvSpPr>
        <xdr:cNvPr id="132155" name="Shape 67">
          <a:extLst>
            <a:ext uri="{FF2B5EF4-FFF2-40B4-BE49-F238E27FC236}">
              <a16:creationId xmlns:a16="http://schemas.microsoft.com/office/drawing/2014/main" id="{00000000-0008-0000-0600-00003B040200}"/>
            </a:ext>
          </a:extLst>
        </xdr:cNvPr>
        <xdr:cNvSpPr>
          <a:spLocks/>
        </xdr:cNvSpPr>
      </xdr:nvSpPr>
      <xdr:spPr bwMode="auto">
        <a:xfrm>
          <a:off x="1552575" y="4610100"/>
          <a:ext cx="638175" cy="9525"/>
        </a:xfrm>
        <a:custGeom>
          <a:avLst/>
          <a:gdLst>
            <a:gd name="T0" fmla="*/ 0 w 703580"/>
            <a:gd name="T1" fmla="*/ 0 h 12700"/>
            <a:gd name="T2" fmla="*/ 693263 w 703580"/>
            <a:gd name="T3" fmla="*/ 0 h 12700"/>
            <a:gd name="T4" fmla="*/ 0 60000 65536"/>
            <a:gd name="T5" fmla="*/ 0 60000 65536"/>
            <a:gd name="T6" fmla="*/ 0 w 703580"/>
            <a:gd name="T7" fmla="*/ 0 h 12700"/>
            <a:gd name="T8" fmla="*/ 703580 w 703580"/>
            <a:gd name="T9" fmla="*/ 0 h 12700"/>
          </a:gdLst>
          <a:ahLst/>
          <a:cxnLst>
            <a:cxn ang="T4">
              <a:pos x="T0" y="T1"/>
            </a:cxn>
            <a:cxn ang="T5">
              <a:pos x="T2" y="T3"/>
            </a:cxn>
          </a:cxnLst>
          <a:rect l="T6" t="T7" r="T8" b="T9"/>
          <a:pathLst>
            <a:path w="703580" h="12700">
              <a:moveTo>
                <a:pt x="0" y="0"/>
              </a:moveTo>
              <a:lnTo>
                <a:pt x="703384" y="0"/>
              </a:lnTo>
            </a:path>
          </a:pathLst>
        </a:cu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28575</xdr:colOff>
      <xdr:row>23</xdr:row>
      <xdr:rowOff>190500</xdr:rowOff>
    </xdr:from>
    <xdr:to>
      <xdr:col>2</xdr:col>
      <xdr:colOff>666750</xdr:colOff>
      <xdr:row>23</xdr:row>
      <xdr:rowOff>203418</xdr:rowOff>
    </xdr:to>
    <xdr:sp macro="" textlink="">
      <xdr:nvSpPr>
        <xdr:cNvPr id="2" name="Shape 67">
          <a:extLst>
            <a:ext uri="{FF2B5EF4-FFF2-40B4-BE49-F238E27FC236}">
              <a16:creationId xmlns:a16="http://schemas.microsoft.com/office/drawing/2014/main" id="{0D047163-BBB2-A345-8A85-01518B42F950}"/>
            </a:ext>
          </a:extLst>
        </xdr:cNvPr>
        <xdr:cNvSpPr>
          <a:spLocks/>
        </xdr:cNvSpPr>
      </xdr:nvSpPr>
      <xdr:spPr bwMode="auto">
        <a:xfrm>
          <a:off x="2352675" y="4648200"/>
          <a:ext cx="638175" cy="9525"/>
        </a:xfrm>
        <a:custGeom>
          <a:avLst/>
          <a:gdLst>
            <a:gd name="T0" fmla="*/ 0 w 703580"/>
            <a:gd name="T1" fmla="*/ 0 h 12700"/>
            <a:gd name="T2" fmla="*/ 693263 w 703580"/>
            <a:gd name="T3" fmla="*/ 0 h 12700"/>
            <a:gd name="T4" fmla="*/ 0 60000 65536"/>
            <a:gd name="T5" fmla="*/ 0 60000 65536"/>
            <a:gd name="T6" fmla="*/ 0 w 703580"/>
            <a:gd name="T7" fmla="*/ 0 h 12700"/>
            <a:gd name="T8" fmla="*/ 703580 w 703580"/>
            <a:gd name="T9" fmla="*/ 0 h 12700"/>
          </a:gdLst>
          <a:ahLst/>
          <a:cxnLst>
            <a:cxn ang="T4">
              <a:pos x="T0" y="T1"/>
            </a:cxn>
            <a:cxn ang="T5">
              <a:pos x="T2" y="T3"/>
            </a:cxn>
          </a:cxnLst>
          <a:rect l="T6" t="T7" r="T8" b="T9"/>
          <a:pathLst>
            <a:path w="703580" h="12700">
              <a:moveTo>
                <a:pt x="0" y="0"/>
              </a:moveTo>
              <a:lnTo>
                <a:pt x="703384" y="0"/>
              </a:lnTo>
            </a:path>
          </a:pathLst>
        </a:cu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stuexternadoedu-my.sharepoint.com/C:/OTRO%20EQUIPO/word%20y%20excel/DECLARACIONES/2019/DECLARACION%202019%20ANA/con%20este%20trabaje%202018%20FORMATO%20RENTA%20PERSONAS%20NATURALES%20%202018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ta x comp patr"/>
      <sheetName val="210"/>
      <sheetName val="pat bruto"/>
      <sheetName val="deudas"/>
      <sheetName val="R.trabajo"/>
      <sheetName val="R.pensiones"/>
      <sheetName val="R.capital"/>
      <sheetName val="tabl int presunt"/>
      <sheetName val="R.no laboral"/>
      <sheetName val="R divid."/>
      <sheetName val="TABLA LIMITAC CESANT "/>
      <sheetName val="renta presunt"/>
      <sheetName val="PRUEBA JENNER 2019"/>
      <sheetName val="MY B"/>
      <sheetName val="impto renta"/>
      <sheetName val="RETENCIONES A FAVOR"/>
      <sheetName val="Ing. x g.o."/>
      <sheetName val="costo x g.o."/>
      <sheetName val="g.o. exenta"/>
      <sheetName val="dtos tribut"/>
      <sheetName val="imp g.o."/>
      <sheetName val="retefuente"/>
      <sheetName val="antici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3654">
          <cell r="M3654">
            <v>276419933</v>
          </cell>
        </row>
      </sheetData>
      <sheetData sheetId="14" refreshError="1"/>
      <sheetData sheetId="15">
        <row r="43">
          <cell r="G43">
            <v>1747989.9200000002</v>
          </cell>
        </row>
      </sheetData>
      <sheetData sheetId="16" refreshError="1"/>
      <sheetData sheetId="17" refreshError="1"/>
      <sheetData sheetId="18" refreshError="1"/>
      <sheetData sheetId="19" refreshError="1"/>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E583-9D63-1149-A5CA-7C3E28D942EB}">
  <sheetPr>
    <tabColor theme="3"/>
  </sheetPr>
  <dimension ref="A1:N120"/>
  <sheetViews>
    <sheetView topLeftCell="A89" zoomScale="130" zoomScaleNormal="130" workbookViewId="0">
      <selection activeCell="C121" sqref="C121"/>
    </sheetView>
  </sheetViews>
  <sheetFormatPr baseColWidth="10" defaultRowHeight="15"/>
  <cols>
    <col min="2" max="2" width="19.5" customWidth="1"/>
    <col min="3" max="3" width="23.33203125" customWidth="1"/>
    <col min="5" max="5" width="25.1640625" customWidth="1"/>
    <col min="8" max="8" width="26.83203125" customWidth="1"/>
    <col min="11" max="11" width="25.83203125" customWidth="1"/>
    <col min="14" max="14" width="24" customWidth="1"/>
  </cols>
  <sheetData>
    <row r="1" spans="1:14" ht="16">
      <c r="A1" s="450" t="s">
        <v>559</v>
      </c>
      <c r="B1" s="450"/>
      <c r="C1" s="450"/>
      <c r="D1" s="450"/>
      <c r="E1" s="450"/>
      <c r="F1" s="450"/>
      <c r="G1" s="450"/>
      <c r="H1" s="450"/>
      <c r="I1" s="374"/>
      <c r="J1" s="374"/>
      <c r="K1" s="374"/>
      <c r="L1" s="374"/>
      <c r="M1" s="374"/>
      <c r="N1" s="374"/>
    </row>
    <row r="2" spans="1:14" ht="16">
      <c r="A2" s="374"/>
      <c r="B2" s="374"/>
      <c r="C2" s="374"/>
      <c r="D2" s="374"/>
      <c r="E2" s="374"/>
      <c r="F2" s="374"/>
      <c r="G2" s="374"/>
      <c r="H2" s="374"/>
      <c r="I2" s="374"/>
      <c r="J2" s="374"/>
      <c r="K2" s="374"/>
      <c r="L2" s="374"/>
      <c r="M2" s="374"/>
      <c r="N2" s="374"/>
    </row>
    <row r="3" spans="1:14" ht="16">
      <c r="A3" s="375" t="s">
        <v>560</v>
      </c>
      <c r="B3" s="374"/>
      <c r="C3" s="374"/>
      <c r="D3" s="374"/>
      <c r="E3" s="374"/>
      <c r="F3" s="374"/>
      <c r="G3" s="374"/>
      <c r="H3" s="374"/>
      <c r="I3" s="374"/>
      <c r="J3" s="374"/>
      <c r="K3" s="374"/>
      <c r="L3" s="374"/>
      <c r="M3" s="374"/>
      <c r="N3" s="374"/>
    </row>
    <row r="4" spans="1:14" ht="16">
      <c r="A4" s="374"/>
      <c r="B4" s="374"/>
      <c r="C4" s="374"/>
      <c r="D4" s="374"/>
      <c r="E4" s="374"/>
      <c r="F4" s="374"/>
      <c r="G4" s="374"/>
      <c r="H4" s="374"/>
      <c r="I4" s="374"/>
      <c r="J4" s="374"/>
      <c r="K4" s="374"/>
      <c r="L4" s="374"/>
      <c r="M4" s="374"/>
      <c r="N4" s="374"/>
    </row>
    <row r="5" spans="1:14" ht="16">
      <c r="A5" s="451" t="s">
        <v>561</v>
      </c>
      <c r="B5" s="451"/>
      <c r="C5" s="376"/>
      <c r="D5" s="452"/>
      <c r="E5" s="452"/>
      <c r="F5" s="376"/>
      <c r="G5" s="377"/>
      <c r="H5" s="377"/>
      <c r="I5" s="374"/>
      <c r="J5" s="374"/>
      <c r="K5" s="374"/>
      <c r="L5" s="374"/>
      <c r="M5" s="374"/>
      <c r="N5" s="374"/>
    </row>
    <row r="6" spans="1:14" ht="16">
      <c r="A6" s="374"/>
      <c r="B6" s="374"/>
      <c r="C6" s="374"/>
      <c r="D6" s="378"/>
      <c r="E6" s="378"/>
      <c r="F6" s="374"/>
      <c r="G6" s="374"/>
      <c r="H6" s="374"/>
      <c r="I6" s="374"/>
      <c r="J6" s="374"/>
      <c r="K6" s="374"/>
      <c r="L6" s="374"/>
      <c r="M6" s="374"/>
      <c r="N6" s="374"/>
    </row>
    <row r="7" spans="1:14" ht="45">
      <c r="A7" s="379" t="s">
        <v>562</v>
      </c>
      <c r="B7" s="380" t="s">
        <v>563</v>
      </c>
      <c r="C7" s="381"/>
      <c r="D7" s="379" t="s">
        <v>562</v>
      </c>
      <c r="E7" s="380" t="s">
        <v>563</v>
      </c>
      <c r="F7" s="381"/>
      <c r="G7" s="379" t="s">
        <v>562</v>
      </c>
      <c r="H7" s="380" t="s">
        <v>563</v>
      </c>
      <c r="I7" s="381"/>
      <c r="J7" s="379" t="s">
        <v>562</v>
      </c>
      <c r="K7" s="380" t="s">
        <v>563</v>
      </c>
      <c r="L7" s="381"/>
      <c r="M7" s="379" t="s">
        <v>562</v>
      </c>
      <c r="N7" s="380" t="s">
        <v>563</v>
      </c>
    </row>
    <row r="8" spans="1:14">
      <c r="A8" s="382" t="s">
        <v>564</v>
      </c>
      <c r="B8" s="383">
        <v>46246</v>
      </c>
      <c r="C8" s="381"/>
      <c r="D8" s="382" t="s">
        <v>565</v>
      </c>
      <c r="E8" s="383">
        <v>46261</v>
      </c>
      <c r="F8" s="381"/>
      <c r="G8" s="382" t="s">
        <v>566</v>
      </c>
      <c r="H8" s="383">
        <v>46275</v>
      </c>
      <c r="I8" s="381"/>
      <c r="J8" s="384" t="s">
        <v>567</v>
      </c>
      <c r="K8" s="383">
        <v>46289</v>
      </c>
      <c r="L8" s="381"/>
      <c r="M8" s="384" t="s">
        <v>568</v>
      </c>
      <c r="N8" s="383">
        <v>46308</v>
      </c>
    </row>
    <row r="9" spans="1:14">
      <c r="A9" s="384" t="s">
        <v>569</v>
      </c>
      <c r="B9" s="383">
        <v>46247</v>
      </c>
      <c r="C9" s="381"/>
      <c r="D9" s="382" t="s">
        <v>570</v>
      </c>
      <c r="E9" s="383">
        <v>46262</v>
      </c>
      <c r="F9" s="381"/>
      <c r="G9" s="382" t="s">
        <v>571</v>
      </c>
      <c r="H9" s="383">
        <v>46276</v>
      </c>
      <c r="I9" s="381"/>
      <c r="J9" s="384" t="s">
        <v>572</v>
      </c>
      <c r="K9" s="383">
        <v>45925</v>
      </c>
      <c r="L9" s="381"/>
      <c r="M9" s="384" t="s">
        <v>573</v>
      </c>
      <c r="N9" s="383">
        <v>46309</v>
      </c>
    </row>
    <row r="10" spans="1:14">
      <c r="A10" s="382" t="s">
        <v>574</v>
      </c>
      <c r="B10" s="383">
        <v>46248</v>
      </c>
      <c r="C10" s="381"/>
      <c r="D10" s="382" t="s">
        <v>575</v>
      </c>
      <c r="E10" s="383">
        <v>46265</v>
      </c>
      <c r="F10" s="381"/>
      <c r="G10" s="382" t="s">
        <v>576</v>
      </c>
      <c r="H10" s="383">
        <v>46279</v>
      </c>
      <c r="I10" s="381"/>
      <c r="J10" s="384" t="s">
        <v>577</v>
      </c>
      <c r="K10" s="383">
        <v>46293</v>
      </c>
      <c r="L10" s="381"/>
      <c r="M10" s="384" t="s">
        <v>578</v>
      </c>
      <c r="N10" s="383">
        <v>46310</v>
      </c>
    </row>
    <row r="11" spans="1:14">
      <c r="A11" s="382" t="s">
        <v>579</v>
      </c>
      <c r="B11" s="383">
        <v>46252</v>
      </c>
      <c r="C11" s="381"/>
      <c r="D11" s="382" t="s">
        <v>580</v>
      </c>
      <c r="E11" s="383">
        <v>46266</v>
      </c>
      <c r="F11" s="381"/>
      <c r="G11" s="382" t="s">
        <v>581</v>
      </c>
      <c r="H11" s="383">
        <v>46280</v>
      </c>
      <c r="I11" s="381"/>
      <c r="J11" s="384" t="s">
        <v>582</v>
      </c>
      <c r="K11" s="383">
        <v>46296</v>
      </c>
      <c r="L11" s="381"/>
      <c r="M11" s="384" t="s">
        <v>583</v>
      </c>
      <c r="N11" s="383">
        <v>46311</v>
      </c>
    </row>
    <row r="12" spans="1:14">
      <c r="A12" s="382" t="s">
        <v>584</v>
      </c>
      <c r="B12" s="383">
        <v>46253</v>
      </c>
      <c r="C12" s="381"/>
      <c r="D12" s="382" t="s">
        <v>585</v>
      </c>
      <c r="E12" s="383">
        <v>46267</v>
      </c>
      <c r="F12" s="381"/>
      <c r="G12" s="382" t="s">
        <v>586</v>
      </c>
      <c r="H12" s="383">
        <v>46281</v>
      </c>
      <c r="I12" s="381"/>
      <c r="J12" s="384" t="s">
        <v>587</v>
      </c>
      <c r="K12" s="383">
        <v>46297</v>
      </c>
      <c r="L12" s="381"/>
      <c r="M12" s="384" t="s">
        <v>588</v>
      </c>
      <c r="N12" s="383">
        <v>46314</v>
      </c>
    </row>
    <row r="13" spans="1:14">
      <c r="A13" s="382" t="s">
        <v>589</v>
      </c>
      <c r="B13" s="383">
        <v>46254</v>
      </c>
      <c r="C13" s="381"/>
      <c r="D13" s="382" t="s">
        <v>590</v>
      </c>
      <c r="E13" s="383">
        <v>46268</v>
      </c>
      <c r="F13" s="381"/>
      <c r="G13" s="382" t="s">
        <v>591</v>
      </c>
      <c r="H13" s="383">
        <v>46282</v>
      </c>
      <c r="I13" s="381"/>
      <c r="J13" s="384" t="s">
        <v>592</v>
      </c>
      <c r="K13" s="383">
        <v>46300</v>
      </c>
      <c r="L13" s="381"/>
      <c r="M13" s="384" t="s">
        <v>593</v>
      </c>
      <c r="N13" s="383">
        <v>46315</v>
      </c>
    </row>
    <row r="14" spans="1:14">
      <c r="A14" s="382" t="s">
        <v>594</v>
      </c>
      <c r="B14" s="383">
        <v>46255</v>
      </c>
      <c r="C14" s="381"/>
      <c r="D14" s="382" t="s">
        <v>595</v>
      </c>
      <c r="E14" s="383">
        <v>46269</v>
      </c>
      <c r="F14" s="381"/>
      <c r="G14" s="382" t="s">
        <v>596</v>
      </c>
      <c r="H14" s="383">
        <v>46283</v>
      </c>
      <c r="I14" s="381"/>
      <c r="J14" s="384" t="s">
        <v>597</v>
      </c>
      <c r="K14" s="383">
        <v>46301</v>
      </c>
      <c r="L14" s="381"/>
      <c r="M14" s="384" t="s">
        <v>598</v>
      </c>
      <c r="N14" s="383">
        <v>46316</v>
      </c>
    </row>
    <row r="15" spans="1:14">
      <c r="A15" s="382" t="s">
        <v>599</v>
      </c>
      <c r="B15" s="383">
        <v>46258</v>
      </c>
      <c r="C15" s="381"/>
      <c r="D15" s="382" t="s">
        <v>600</v>
      </c>
      <c r="E15" s="383">
        <v>46272</v>
      </c>
      <c r="F15" s="381"/>
      <c r="G15" s="382" t="s">
        <v>601</v>
      </c>
      <c r="H15" s="383">
        <v>46286</v>
      </c>
      <c r="I15" s="381"/>
      <c r="J15" s="384" t="s">
        <v>602</v>
      </c>
      <c r="K15" s="383">
        <v>46302</v>
      </c>
      <c r="L15" s="381"/>
      <c r="M15" s="384" t="s">
        <v>603</v>
      </c>
      <c r="N15" s="383">
        <v>46317</v>
      </c>
    </row>
    <row r="16" spans="1:14">
      <c r="A16" s="382" t="s">
        <v>604</v>
      </c>
      <c r="B16" s="383">
        <v>46259</v>
      </c>
      <c r="C16" s="381"/>
      <c r="D16" s="382" t="s">
        <v>605</v>
      </c>
      <c r="E16" s="383">
        <v>46273</v>
      </c>
      <c r="F16" s="381"/>
      <c r="G16" s="382" t="s">
        <v>606</v>
      </c>
      <c r="H16" s="383">
        <v>46287</v>
      </c>
      <c r="I16" s="381"/>
      <c r="J16" s="384" t="s">
        <v>607</v>
      </c>
      <c r="K16" s="383">
        <v>46303</v>
      </c>
      <c r="L16" s="381"/>
      <c r="M16" s="384" t="s">
        <v>608</v>
      </c>
      <c r="N16" s="383">
        <v>46318</v>
      </c>
    </row>
    <row r="17" spans="1:14">
      <c r="A17" s="382" t="s">
        <v>609</v>
      </c>
      <c r="B17" s="383">
        <v>46260</v>
      </c>
      <c r="C17" s="381"/>
      <c r="D17" s="382" t="s">
        <v>610</v>
      </c>
      <c r="E17" s="383">
        <v>46274</v>
      </c>
      <c r="F17" s="381"/>
      <c r="G17" s="382" t="s">
        <v>611</v>
      </c>
      <c r="H17" s="383">
        <v>46288</v>
      </c>
      <c r="I17" s="381"/>
      <c r="J17" s="384" t="s">
        <v>612</v>
      </c>
      <c r="K17" s="383">
        <v>46304</v>
      </c>
      <c r="L17" s="381"/>
      <c r="M17" s="384" t="s">
        <v>613</v>
      </c>
      <c r="N17" s="383">
        <v>46321</v>
      </c>
    </row>
    <row r="18" spans="1:14" ht="16">
      <c r="A18" s="385"/>
      <c r="B18" s="386"/>
      <c r="C18" s="374"/>
      <c r="D18" s="387"/>
      <c r="E18" s="387"/>
      <c r="F18" s="387"/>
      <c r="G18" s="387"/>
      <c r="H18" s="386"/>
      <c r="I18" s="374"/>
      <c r="J18" s="374"/>
      <c r="K18" s="374"/>
      <c r="L18" s="374"/>
      <c r="M18" s="374"/>
      <c r="N18" s="374"/>
    </row>
    <row r="21" spans="1:14">
      <c r="B21" s="389" t="s">
        <v>615</v>
      </c>
      <c r="C21" s="383">
        <f>B8</f>
        <v>46246</v>
      </c>
    </row>
    <row r="22" spans="1:14">
      <c r="B22" s="389" t="s">
        <v>616</v>
      </c>
      <c r="C22" s="383">
        <f>C21</f>
        <v>46246</v>
      </c>
    </row>
    <row r="23" spans="1:14">
      <c r="B23" s="389" t="s">
        <v>617</v>
      </c>
      <c r="C23" s="383">
        <f>B9</f>
        <v>46247</v>
      </c>
    </row>
    <row r="24" spans="1:14">
      <c r="B24" s="389" t="s">
        <v>618</v>
      </c>
      <c r="C24" s="383">
        <f>C23</f>
        <v>46247</v>
      </c>
    </row>
    <row r="25" spans="1:14">
      <c r="B25" s="389" t="s">
        <v>619</v>
      </c>
      <c r="C25" s="383">
        <f>B10</f>
        <v>46248</v>
      </c>
    </row>
    <row r="26" spans="1:14">
      <c r="B26" s="389" t="s">
        <v>620</v>
      </c>
      <c r="C26" s="383">
        <f>C25</f>
        <v>46248</v>
      </c>
    </row>
    <row r="27" spans="1:14">
      <c r="B27" s="389" t="s">
        <v>621</v>
      </c>
      <c r="C27" s="383">
        <f>B11</f>
        <v>46252</v>
      </c>
    </row>
    <row r="28" spans="1:14">
      <c r="B28" s="389" t="s">
        <v>622</v>
      </c>
      <c r="C28" s="383">
        <f>C27</f>
        <v>46252</v>
      </c>
    </row>
    <row r="29" spans="1:14">
      <c r="B29" s="389" t="s">
        <v>623</v>
      </c>
      <c r="C29" s="383">
        <f>B12</f>
        <v>46253</v>
      </c>
    </row>
    <row r="30" spans="1:14">
      <c r="B30" s="389" t="s">
        <v>624</v>
      </c>
      <c r="C30" s="383">
        <f>C29</f>
        <v>46253</v>
      </c>
    </row>
    <row r="31" spans="1:14">
      <c r="B31" s="389" t="s">
        <v>625</v>
      </c>
      <c r="C31" s="383">
        <f>B13</f>
        <v>46254</v>
      </c>
    </row>
    <row r="32" spans="1:14">
      <c r="B32" s="389" t="s">
        <v>626</v>
      </c>
      <c r="C32" s="383">
        <f>C31</f>
        <v>46254</v>
      </c>
    </row>
    <row r="33" spans="2:3">
      <c r="B33" s="389" t="s">
        <v>627</v>
      </c>
      <c r="C33" s="383">
        <f>B14</f>
        <v>46255</v>
      </c>
    </row>
    <row r="34" spans="2:3">
      <c r="B34" s="389" t="s">
        <v>628</v>
      </c>
      <c r="C34" s="383">
        <f>C33</f>
        <v>46255</v>
      </c>
    </row>
    <row r="35" spans="2:3">
      <c r="B35" s="389" t="s">
        <v>629</v>
      </c>
      <c r="C35" s="383">
        <f>B15</f>
        <v>46258</v>
      </c>
    </row>
    <row r="36" spans="2:3">
      <c r="B36" s="389" t="s">
        <v>630</v>
      </c>
      <c r="C36" s="383">
        <f>C35</f>
        <v>46258</v>
      </c>
    </row>
    <row r="37" spans="2:3">
      <c r="B37" s="389" t="s">
        <v>631</v>
      </c>
      <c r="C37" s="383">
        <f>B16</f>
        <v>46259</v>
      </c>
    </row>
    <row r="38" spans="2:3">
      <c r="B38" s="389" t="s">
        <v>632</v>
      </c>
      <c r="C38" s="383">
        <f>C37</f>
        <v>46259</v>
      </c>
    </row>
    <row r="39" spans="2:3">
      <c r="B39" s="389" t="s">
        <v>633</v>
      </c>
      <c r="C39" s="383">
        <f>B17</f>
        <v>46260</v>
      </c>
    </row>
    <row r="40" spans="2:3">
      <c r="B40" s="389" t="s">
        <v>634</v>
      </c>
      <c r="C40" s="383">
        <f>C39</f>
        <v>46260</v>
      </c>
    </row>
    <row r="41" spans="2:3">
      <c r="B41" s="389" t="s">
        <v>635</v>
      </c>
      <c r="C41" s="383">
        <f>E8</f>
        <v>46261</v>
      </c>
    </row>
    <row r="42" spans="2:3">
      <c r="B42" s="389" t="s">
        <v>636</v>
      </c>
      <c r="C42" s="383">
        <f>C41</f>
        <v>46261</v>
      </c>
    </row>
    <row r="43" spans="2:3">
      <c r="B43" s="389" t="s">
        <v>637</v>
      </c>
      <c r="C43" s="383">
        <f>E9</f>
        <v>46262</v>
      </c>
    </row>
    <row r="44" spans="2:3">
      <c r="B44" s="389" t="s">
        <v>638</v>
      </c>
      <c r="C44" s="383">
        <f>C43</f>
        <v>46262</v>
      </c>
    </row>
    <row r="45" spans="2:3">
      <c r="B45" s="389" t="s">
        <v>639</v>
      </c>
      <c r="C45" s="383">
        <f>E10</f>
        <v>46265</v>
      </c>
    </row>
    <row r="46" spans="2:3">
      <c r="B46" s="389" t="s">
        <v>640</v>
      </c>
      <c r="C46" s="383">
        <f>C45</f>
        <v>46265</v>
      </c>
    </row>
    <row r="47" spans="2:3">
      <c r="B47" s="389" t="s">
        <v>641</v>
      </c>
      <c r="C47" s="383">
        <f>E11</f>
        <v>46266</v>
      </c>
    </row>
    <row r="48" spans="2:3">
      <c r="B48" s="389" t="s">
        <v>642</v>
      </c>
      <c r="C48" s="383">
        <f>C47</f>
        <v>46266</v>
      </c>
    </row>
    <row r="49" spans="2:3">
      <c r="B49" s="389" t="s">
        <v>643</v>
      </c>
      <c r="C49" s="383">
        <f>E12</f>
        <v>46267</v>
      </c>
    </row>
    <row r="50" spans="2:3">
      <c r="B50" s="389" t="s">
        <v>644</v>
      </c>
      <c r="C50" s="383">
        <f>C49</f>
        <v>46267</v>
      </c>
    </row>
    <row r="51" spans="2:3">
      <c r="B51" s="389" t="s">
        <v>645</v>
      </c>
      <c r="C51" s="383">
        <f>E13</f>
        <v>46268</v>
      </c>
    </row>
    <row r="52" spans="2:3">
      <c r="B52" s="389" t="s">
        <v>646</v>
      </c>
      <c r="C52" s="383">
        <f>C51</f>
        <v>46268</v>
      </c>
    </row>
    <row r="53" spans="2:3">
      <c r="B53" s="389" t="s">
        <v>647</v>
      </c>
      <c r="C53" s="383">
        <f>E14</f>
        <v>46269</v>
      </c>
    </row>
    <row r="54" spans="2:3">
      <c r="B54" s="389" t="s">
        <v>648</v>
      </c>
      <c r="C54" s="383">
        <f>C53</f>
        <v>46269</v>
      </c>
    </row>
    <row r="55" spans="2:3">
      <c r="B55" s="389" t="s">
        <v>649</v>
      </c>
      <c r="C55" s="383">
        <f>E15</f>
        <v>46272</v>
      </c>
    </row>
    <row r="56" spans="2:3">
      <c r="B56" s="389" t="s">
        <v>650</v>
      </c>
      <c r="C56" s="383">
        <f>C55</f>
        <v>46272</v>
      </c>
    </row>
    <row r="57" spans="2:3">
      <c r="B57" s="389" t="s">
        <v>651</v>
      </c>
      <c r="C57" s="383">
        <f>E16</f>
        <v>46273</v>
      </c>
    </row>
    <row r="58" spans="2:3">
      <c r="B58" s="389" t="s">
        <v>652</v>
      </c>
      <c r="C58" s="383">
        <f>C57</f>
        <v>46273</v>
      </c>
    </row>
    <row r="59" spans="2:3">
      <c r="B59" s="389" t="s">
        <v>653</v>
      </c>
      <c r="C59" s="383">
        <f>E17</f>
        <v>46274</v>
      </c>
    </row>
    <row r="60" spans="2:3">
      <c r="B60" s="389" t="s">
        <v>654</v>
      </c>
      <c r="C60" s="383">
        <f>C59</f>
        <v>46274</v>
      </c>
    </row>
    <row r="61" spans="2:3">
      <c r="B61" s="389" t="s">
        <v>655</v>
      </c>
      <c r="C61" s="383">
        <f>H8</f>
        <v>46275</v>
      </c>
    </row>
    <row r="62" spans="2:3">
      <c r="B62" s="389" t="s">
        <v>656</v>
      </c>
      <c r="C62" s="383">
        <f>C61</f>
        <v>46275</v>
      </c>
    </row>
    <row r="63" spans="2:3">
      <c r="B63" s="389" t="s">
        <v>657</v>
      </c>
      <c r="C63" s="383">
        <f>H9</f>
        <v>46276</v>
      </c>
    </row>
    <row r="64" spans="2:3">
      <c r="B64" s="389" t="s">
        <v>658</v>
      </c>
      <c r="C64" s="383">
        <f>C63</f>
        <v>46276</v>
      </c>
    </row>
    <row r="65" spans="2:3">
      <c r="B65" s="389" t="s">
        <v>659</v>
      </c>
      <c r="C65" s="383">
        <f>H10</f>
        <v>46279</v>
      </c>
    </row>
    <row r="66" spans="2:3">
      <c r="B66" s="389" t="s">
        <v>660</v>
      </c>
      <c r="C66" s="383">
        <f>C65</f>
        <v>46279</v>
      </c>
    </row>
    <row r="67" spans="2:3">
      <c r="B67" s="389" t="s">
        <v>661</v>
      </c>
      <c r="C67" s="383">
        <f>H11</f>
        <v>46280</v>
      </c>
    </row>
    <row r="68" spans="2:3">
      <c r="B68" s="389" t="s">
        <v>662</v>
      </c>
      <c r="C68" s="383">
        <f>C67</f>
        <v>46280</v>
      </c>
    </row>
    <row r="69" spans="2:3">
      <c r="B69" s="389" t="s">
        <v>663</v>
      </c>
      <c r="C69" s="383">
        <f>H12</f>
        <v>46281</v>
      </c>
    </row>
    <row r="70" spans="2:3">
      <c r="B70" s="389" t="s">
        <v>664</v>
      </c>
      <c r="C70" s="383">
        <f>C69</f>
        <v>46281</v>
      </c>
    </row>
    <row r="71" spans="2:3">
      <c r="B71" s="389" t="s">
        <v>665</v>
      </c>
      <c r="C71" s="383">
        <f>H13</f>
        <v>46282</v>
      </c>
    </row>
    <row r="72" spans="2:3">
      <c r="B72" s="389" t="s">
        <v>666</v>
      </c>
      <c r="C72" s="383">
        <f>C71</f>
        <v>46282</v>
      </c>
    </row>
    <row r="73" spans="2:3">
      <c r="B73" s="389" t="s">
        <v>667</v>
      </c>
      <c r="C73" s="383">
        <f>H14</f>
        <v>46283</v>
      </c>
    </row>
    <row r="74" spans="2:3">
      <c r="B74" s="389" t="s">
        <v>668</v>
      </c>
      <c r="C74" s="383">
        <f>C73</f>
        <v>46283</v>
      </c>
    </row>
    <row r="75" spans="2:3">
      <c r="B75" s="389" t="s">
        <v>669</v>
      </c>
      <c r="C75" s="383">
        <f>H15</f>
        <v>46286</v>
      </c>
    </row>
    <row r="76" spans="2:3">
      <c r="B76" s="389" t="s">
        <v>670</v>
      </c>
      <c r="C76" s="383">
        <f>C75</f>
        <v>46286</v>
      </c>
    </row>
    <row r="77" spans="2:3">
      <c r="B77" s="389" t="s">
        <v>671</v>
      </c>
      <c r="C77" s="383">
        <f>H16</f>
        <v>46287</v>
      </c>
    </row>
    <row r="78" spans="2:3">
      <c r="B78" s="389" t="s">
        <v>672</v>
      </c>
      <c r="C78" s="383">
        <f>C77</f>
        <v>46287</v>
      </c>
    </row>
    <row r="79" spans="2:3">
      <c r="B79" s="389" t="s">
        <v>673</v>
      </c>
      <c r="C79" s="383">
        <f>H17</f>
        <v>46288</v>
      </c>
    </row>
    <row r="80" spans="2:3">
      <c r="B80" s="389" t="s">
        <v>674</v>
      </c>
      <c r="C80" s="428">
        <f>C79</f>
        <v>46288</v>
      </c>
    </row>
    <row r="81" spans="2:3">
      <c r="B81" s="389" t="s">
        <v>675</v>
      </c>
      <c r="C81" s="383">
        <f>K8</f>
        <v>46289</v>
      </c>
    </row>
    <row r="82" spans="2:3">
      <c r="B82" s="389" t="s">
        <v>676</v>
      </c>
      <c r="C82" s="383">
        <f>C81</f>
        <v>46289</v>
      </c>
    </row>
    <row r="83" spans="2:3">
      <c r="B83" s="389" t="s">
        <v>677</v>
      </c>
      <c r="C83" s="383">
        <f>K9</f>
        <v>45925</v>
      </c>
    </row>
    <row r="84" spans="2:3">
      <c r="B84" s="389" t="s">
        <v>678</v>
      </c>
      <c r="C84" s="383">
        <f>C83</f>
        <v>45925</v>
      </c>
    </row>
    <row r="85" spans="2:3">
      <c r="B85" s="389" t="s">
        <v>679</v>
      </c>
      <c r="C85" s="383">
        <f>K10</f>
        <v>46293</v>
      </c>
    </row>
    <row r="86" spans="2:3">
      <c r="B86" s="389" t="s">
        <v>680</v>
      </c>
      <c r="C86" s="383">
        <f>C85</f>
        <v>46293</v>
      </c>
    </row>
    <row r="87" spans="2:3">
      <c r="B87" s="389" t="s">
        <v>681</v>
      </c>
      <c r="C87" s="383">
        <f>K11</f>
        <v>46296</v>
      </c>
    </row>
    <row r="88" spans="2:3">
      <c r="B88" s="389" t="s">
        <v>682</v>
      </c>
      <c r="C88" s="383">
        <f>C87</f>
        <v>46296</v>
      </c>
    </row>
    <row r="89" spans="2:3">
      <c r="B89" s="389" t="s">
        <v>683</v>
      </c>
      <c r="C89" s="383">
        <f>K12</f>
        <v>46297</v>
      </c>
    </row>
    <row r="90" spans="2:3">
      <c r="B90" s="389" t="s">
        <v>684</v>
      </c>
      <c r="C90" s="383">
        <f>C89</f>
        <v>46297</v>
      </c>
    </row>
    <row r="91" spans="2:3">
      <c r="B91" s="389" t="s">
        <v>685</v>
      </c>
      <c r="C91" s="383">
        <f>K13</f>
        <v>46300</v>
      </c>
    </row>
    <row r="92" spans="2:3">
      <c r="B92" s="389" t="s">
        <v>686</v>
      </c>
      <c r="C92" s="383">
        <f>C91</f>
        <v>46300</v>
      </c>
    </row>
    <row r="93" spans="2:3">
      <c r="B93" s="389" t="s">
        <v>687</v>
      </c>
      <c r="C93" s="383">
        <f>K14</f>
        <v>46301</v>
      </c>
    </row>
    <row r="94" spans="2:3">
      <c r="B94" s="389" t="s">
        <v>688</v>
      </c>
      <c r="C94" s="383">
        <f>C93</f>
        <v>46301</v>
      </c>
    </row>
    <row r="95" spans="2:3">
      <c r="B95" s="389" t="s">
        <v>689</v>
      </c>
      <c r="C95" s="383">
        <f>K15</f>
        <v>46302</v>
      </c>
    </row>
    <row r="96" spans="2:3">
      <c r="B96" s="389" t="s">
        <v>690</v>
      </c>
      <c r="C96" s="383">
        <f>C95</f>
        <v>46302</v>
      </c>
    </row>
    <row r="97" spans="2:3">
      <c r="B97" s="389" t="s">
        <v>691</v>
      </c>
      <c r="C97" s="383">
        <f>K16</f>
        <v>46303</v>
      </c>
    </row>
    <row r="98" spans="2:3">
      <c r="B98" s="389" t="s">
        <v>692</v>
      </c>
      <c r="C98" s="383">
        <f>C97</f>
        <v>46303</v>
      </c>
    </row>
    <row r="99" spans="2:3">
      <c r="B99" s="389" t="s">
        <v>693</v>
      </c>
      <c r="C99" s="383">
        <f>K17</f>
        <v>46304</v>
      </c>
    </row>
    <row r="100" spans="2:3">
      <c r="B100" s="389" t="s">
        <v>694</v>
      </c>
      <c r="C100" s="383">
        <f>C99</f>
        <v>46304</v>
      </c>
    </row>
    <row r="101" spans="2:3">
      <c r="B101" s="389" t="s">
        <v>695</v>
      </c>
      <c r="C101" s="383">
        <f>N8</f>
        <v>46308</v>
      </c>
    </row>
    <row r="102" spans="2:3">
      <c r="B102" s="389" t="s">
        <v>696</v>
      </c>
      <c r="C102" s="383">
        <f>C101</f>
        <v>46308</v>
      </c>
    </row>
    <row r="103" spans="2:3">
      <c r="B103" s="389" t="s">
        <v>697</v>
      </c>
      <c r="C103" s="383">
        <f>N9</f>
        <v>46309</v>
      </c>
    </row>
    <row r="104" spans="2:3">
      <c r="B104" s="389" t="s">
        <v>698</v>
      </c>
      <c r="C104" s="383">
        <f>C103</f>
        <v>46309</v>
      </c>
    </row>
    <row r="105" spans="2:3">
      <c r="B105" s="389" t="s">
        <v>699</v>
      </c>
      <c r="C105" s="383">
        <f>N10</f>
        <v>46310</v>
      </c>
    </row>
    <row r="106" spans="2:3">
      <c r="B106" s="389" t="s">
        <v>700</v>
      </c>
      <c r="C106" s="383">
        <f>C105</f>
        <v>46310</v>
      </c>
    </row>
    <row r="107" spans="2:3">
      <c r="B107" s="389" t="s">
        <v>701</v>
      </c>
      <c r="C107" s="383">
        <f>N11</f>
        <v>46311</v>
      </c>
    </row>
    <row r="108" spans="2:3">
      <c r="B108" s="389" t="s">
        <v>702</v>
      </c>
      <c r="C108" s="383">
        <f>C107</f>
        <v>46311</v>
      </c>
    </row>
    <row r="109" spans="2:3">
      <c r="B109" s="389" t="s">
        <v>703</v>
      </c>
      <c r="C109" s="383">
        <f>N12</f>
        <v>46314</v>
      </c>
    </row>
    <row r="110" spans="2:3">
      <c r="B110" s="389" t="s">
        <v>704</v>
      </c>
      <c r="C110" s="383">
        <f>C109</f>
        <v>46314</v>
      </c>
    </row>
    <row r="111" spans="2:3">
      <c r="B111" s="389" t="s">
        <v>705</v>
      </c>
      <c r="C111" s="383">
        <f>N13</f>
        <v>46315</v>
      </c>
    </row>
    <row r="112" spans="2:3">
      <c r="B112" s="389" t="s">
        <v>706</v>
      </c>
      <c r="C112" s="383">
        <f>C111</f>
        <v>46315</v>
      </c>
    </row>
    <row r="113" spans="2:3">
      <c r="B113" s="389" t="s">
        <v>707</v>
      </c>
      <c r="C113" s="383">
        <f>N14</f>
        <v>46316</v>
      </c>
    </row>
    <row r="114" spans="2:3">
      <c r="B114" s="389" t="s">
        <v>708</v>
      </c>
      <c r="C114" s="383">
        <f>C113</f>
        <v>46316</v>
      </c>
    </row>
    <row r="115" spans="2:3">
      <c r="B115" s="389" t="s">
        <v>709</v>
      </c>
      <c r="C115" s="383">
        <f>N15</f>
        <v>46317</v>
      </c>
    </row>
    <row r="116" spans="2:3">
      <c r="B116" s="389" t="s">
        <v>710</v>
      </c>
      <c r="C116" s="383">
        <f>C115</f>
        <v>46317</v>
      </c>
    </row>
    <row r="117" spans="2:3">
      <c r="B117" s="389" t="s">
        <v>711</v>
      </c>
      <c r="C117" s="383">
        <f>N16</f>
        <v>46318</v>
      </c>
    </row>
    <row r="118" spans="2:3">
      <c r="B118" s="389" t="s">
        <v>712</v>
      </c>
      <c r="C118" s="383">
        <f>C117</f>
        <v>46318</v>
      </c>
    </row>
    <row r="119" spans="2:3">
      <c r="B119" s="389" t="s">
        <v>713</v>
      </c>
      <c r="C119" s="383">
        <f>N17</f>
        <v>46321</v>
      </c>
    </row>
    <row r="120" spans="2:3">
      <c r="B120" s="389" t="s">
        <v>714</v>
      </c>
      <c r="C120" s="383">
        <f>C119</f>
        <v>46321</v>
      </c>
    </row>
  </sheetData>
  <mergeCells count="3">
    <mergeCell ref="A1:H1"/>
    <mergeCell ref="A5:B5"/>
    <mergeCell ref="D5:E5"/>
  </mergeCells>
  <phoneticPr fontId="8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3:D15"/>
  <sheetViews>
    <sheetView showGridLines="0" topLeftCell="A4" zoomScale="220" zoomScaleNormal="220" workbookViewId="0">
      <selection activeCell="C15" sqref="C15"/>
    </sheetView>
  </sheetViews>
  <sheetFormatPr baseColWidth="10" defaultRowHeight="15"/>
  <cols>
    <col min="1" max="1" width="10.83203125" style="365"/>
    <col min="2" max="2" width="27.6640625" style="365" customWidth="1"/>
    <col min="3" max="3" width="33.5" style="365" customWidth="1"/>
    <col min="4" max="16384" width="10.83203125" style="365"/>
  </cols>
  <sheetData>
    <row r="3" spans="2:4" ht="17" customHeight="1"/>
    <row r="6" spans="2:4" ht="15" customHeight="1">
      <c r="B6" s="367" t="s">
        <v>312</v>
      </c>
      <c r="C6" s="373">
        <v>1015670654</v>
      </c>
    </row>
    <row r="7" spans="2:4" ht="15" customHeight="1">
      <c r="B7" s="367" t="s">
        <v>311</v>
      </c>
      <c r="C7" s="366">
        <v>1</v>
      </c>
    </row>
    <row r="8" spans="2:4" ht="15" customHeight="1">
      <c r="B8" s="367" t="s">
        <v>310</v>
      </c>
      <c r="C8" s="366" t="s">
        <v>786</v>
      </c>
    </row>
    <row r="9" spans="2:4">
      <c r="B9" s="367" t="s">
        <v>309</v>
      </c>
      <c r="C9" s="366" t="s">
        <v>787</v>
      </c>
    </row>
    <row r="10" spans="2:4">
      <c r="B10" s="367" t="s">
        <v>553</v>
      </c>
      <c r="C10" s="366" t="s">
        <v>788</v>
      </c>
    </row>
    <row r="11" spans="2:4">
      <c r="B11" s="367" t="s">
        <v>554</v>
      </c>
      <c r="C11" s="366" t="s">
        <v>792</v>
      </c>
    </row>
    <row r="12" spans="2:4">
      <c r="B12" s="367" t="s">
        <v>555</v>
      </c>
      <c r="C12" s="366">
        <v>7490</v>
      </c>
    </row>
    <row r="13" spans="2:4">
      <c r="B13" s="367" t="s">
        <v>556</v>
      </c>
      <c r="C13" s="369"/>
    </row>
    <row r="14" spans="2:4">
      <c r="B14" s="367" t="s">
        <v>557</v>
      </c>
      <c r="C14" s="369"/>
    </row>
    <row r="15" spans="2:4">
      <c r="B15" s="367" t="s">
        <v>614</v>
      </c>
      <c r="C15" s="388">
        <f>VLOOKUP(RIGHT(C6,2),'Calendario Tributario'!$B$21:$C$120,2,0)</f>
        <v>46283</v>
      </c>
      <c r="D15" s="391" t="s">
        <v>715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B2:AR60"/>
  <sheetViews>
    <sheetView showGridLines="0" topLeftCell="A30" zoomScale="120" zoomScaleNormal="120" workbookViewId="0">
      <selection activeCell="U51" sqref="U51:W51"/>
    </sheetView>
  </sheetViews>
  <sheetFormatPr baseColWidth="10" defaultColWidth="10.83203125" defaultRowHeight="15"/>
  <cols>
    <col min="1" max="1" width="2.6640625" customWidth="1"/>
    <col min="2" max="2" width="5" style="184" customWidth="1"/>
    <col min="3" max="3" width="5.6640625" style="184" customWidth="1"/>
    <col min="4" max="4" width="8" style="184" customWidth="1"/>
    <col min="5" max="5" width="3.83203125" style="184" customWidth="1"/>
    <col min="6" max="6" width="13.6640625" style="184" customWidth="1"/>
    <col min="7" max="7" width="3.83203125" style="185" customWidth="1"/>
    <col min="8" max="8" width="11.83203125" style="185" customWidth="1"/>
    <col min="9" max="9" width="3.83203125" style="185" customWidth="1"/>
    <col min="10" max="10" width="7.33203125" style="185" customWidth="1"/>
    <col min="11" max="11" width="5.5" style="184" customWidth="1"/>
    <col min="12" max="12" width="3.83203125" style="184" customWidth="1"/>
    <col min="13" max="13" width="9" style="184" customWidth="1"/>
    <col min="14" max="14" width="2.83203125" style="184" bestFit="1" customWidth="1"/>
    <col min="15" max="15" width="11.33203125" style="184" customWidth="1"/>
    <col min="16" max="16" width="5.83203125" style="184" customWidth="1"/>
    <col min="17" max="17" width="4.33203125" style="184" customWidth="1"/>
    <col min="18" max="18" width="3.83203125" style="184" customWidth="1"/>
    <col min="19" max="19" width="8.1640625" style="184" customWidth="1"/>
    <col min="20" max="20" width="3.83203125" style="184" customWidth="1"/>
    <col min="21" max="21" width="10.6640625" style="184" customWidth="1"/>
    <col min="22" max="22" width="8.6640625" style="184" customWidth="1"/>
    <col min="23" max="23" width="4.6640625" style="184" customWidth="1"/>
    <col min="24" max="24" width="4.5" style="184" customWidth="1"/>
    <col min="25" max="26" width="3.83203125" style="184" customWidth="1"/>
    <col min="27" max="27" width="3.5" style="184" bestFit="1" customWidth="1"/>
    <col min="28" max="28" width="18.6640625" style="184" customWidth="1"/>
    <col min="29" max="29" width="12.5" customWidth="1"/>
    <col min="30" max="30" width="13.33203125" hidden="1" customWidth="1"/>
    <col min="31" max="33" width="10.83203125" hidden="1" customWidth="1"/>
    <col min="34" max="34" width="41.6640625" hidden="1" customWidth="1"/>
    <col min="35" max="35" width="11" hidden="1" customWidth="1"/>
    <col min="36" max="36" width="16.1640625" hidden="1" customWidth="1"/>
    <col min="37" max="37" width="12.6640625" hidden="1" customWidth="1"/>
    <col min="38" max="42" width="10.83203125" hidden="1" customWidth="1"/>
    <col min="43" max="43" width="16.1640625" hidden="1" customWidth="1"/>
    <col min="44" max="44" width="11.1640625" hidden="1" customWidth="1"/>
    <col min="45" max="48" width="0" hidden="1" customWidth="1"/>
  </cols>
  <sheetData>
    <row r="2" spans="2:37">
      <c r="B2" s="574"/>
      <c r="C2" s="575"/>
      <c r="D2" s="575"/>
      <c r="E2" s="575"/>
      <c r="F2" s="576"/>
      <c r="G2" s="554" t="s">
        <v>314</v>
      </c>
      <c r="H2" s="554"/>
      <c r="I2" s="554"/>
      <c r="J2" s="554"/>
      <c r="K2" s="554"/>
      <c r="L2" s="554"/>
      <c r="M2" s="554"/>
      <c r="N2" s="554"/>
      <c r="O2" s="554"/>
      <c r="P2" s="554"/>
      <c r="Q2" s="554"/>
      <c r="R2" s="554"/>
      <c r="S2" s="554"/>
      <c r="T2" s="554"/>
      <c r="U2" s="554"/>
      <c r="V2" s="555"/>
      <c r="W2" s="556"/>
      <c r="X2" s="556"/>
      <c r="Y2" s="556"/>
      <c r="Z2" s="556"/>
      <c r="AA2" s="561">
        <v>210</v>
      </c>
      <c r="AB2" s="561"/>
      <c r="AH2" s="93" t="s">
        <v>42</v>
      </c>
      <c r="AI2" s="93" t="s">
        <v>151</v>
      </c>
      <c r="AJ2" s="93" t="s">
        <v>111</v>
      </c>
    </row>
    <row r="3" spans="2:37">
      <c r="B3" s="577"/>
      <c r="C3" s="578"/>
      <c r="D3" s="578"/>
      <c r="E3" s="578"/>
      <c r="F3" s="579"/>
      <c r="G3" s="554"/>
      <c r="H3" s="554"/>
      <c r="I3" s="554"/>
      <c r="J3" s="554"/>
      <c r="K3" s="554"/>
      <c r="L3" s="554"/>
      <c r="M3" s="554"/>
      <c r="N3" s="554"/>
      <c r="O3" s="554"/>
      <c r="P3" s="554"/>
      <c r="Q3" s="554"/>
      <c r="R3" s="554"/>
      <c r="S3" s="554"/>
      <c r="T3" s="554"/>
      <c r="U3" s="554"/>
      <c r="V3" s="557"/>
      <c r="W3" s="558"/>
      <c r="X3" s="558"/>
      <c r="Y3" s="558"/>
      <c r="Z3" s="558"/>
      <c r="AA3" s="561"/>
      <c r="AB3" s="561"/>
      <c r="AH3" s="94" t="s">
        <v>152</v>
      </c>
      <c r="AI3" s="95"/>
      <c r="AJ3" s="96">
        <f>H15</f>
        <v>260333000</v>
      </c>
    </row>
    <row r="4" spans="2:37">
      <c r="B4" s="577"/>
      <c r="C4" s="578"/>
      <c r="D4" s="578"/>
      <c r="E4" s="578"/>
      <c r="F4" s="579"/>
      <c r="G4" s="554"/>
      <c r="H4" s="554"/>
      <c r="I4" s="554"/>
      <c r="J4" s="554"/>
      <c r="K4" s="554"/>
      <c r="L4" s="554"/>
      <c r="M4" s="554"/>
      <c r="N4" s="554"/>
      <c r="O4" s="554"/>
      <c r="P4" s="554"/>
      <c r="Q4" s="554"/>
      <c r="R4" s="554"/>
      <c r="S4" s="554"/>
      <c r="T4" s="554"/>
      <c r="U4" s="554"/>
      <c r="V4" s="557"/>
      <c r="W4" s="558"/>
      <c r="X4" s="558"/>
      <c r="Y4" s="558"/>
      <c r="Z4" s="558"/>
      <c r="AA4" s="561"/>
      <c r="AB4" s="561"/>
      <c r="AH4" s="94" t="s">
        <v>324</v>
      </c>
      <c r="AI4" s="95"/>
      <c r="AJ4" s="96">
        <f>M15</f>
        <v>190000000</v>
      </c>
    </row>
    <row r="5" spans="2:37">
      <c r="B5" s="580"/>
      <c r="C5" s="581"/>
      <c r="D5" s="581"/>
      <c r="E5" s="581"/>
      <c r="F5" s="582"/>
      <c r="G5" s="554"/>
      <c r="H5" s="554"/>
      <c r="I5" s="554"/>
      <c r="J5" s="554"/>
      <c r="K5" s="554"/>
      <c r="L5" s="554"/>
      <c r="M5" s="554"/>
      <c r="N5" s="554"/>
      <c r="O5" s="554"/>
      <c r="P5" s="554"/>
      <c r="Q5" s="554"/>
      <c r="R5" s="554"/>
      <c r="S5" s="554"/>
      <c r="T5" s="554"/>
      <c r="U5" s="554"/>
      <c r="V5" s="559"/>
      <c r="W5" s="560"/>
      <c r="X5" s="560"/>
      <c r="Y5" s="560"/>
      <c r="Z5" s="560"/>
      <c r="AA5" s="561"/>
      <c r="AB5" s="561"/>
      <c r="AH5" s="94" t="s">
        <v>149</v>
      </c>
      <c r="AI5" s="95"/>
      <c r="AJ5" s="96">
        <f>S15</f>
        <v>109421000</v>
      </c>
    </row>
    <row r="6" spans="2:37" ht="15" customHeight="1">
      <c r="B6" s="594" t="s">
        <v>551</v>
      </c>
      <c r="C6" s="594"/>
      <c r="D6" s="594"/>
      <c r="E6" s="594"/>
      <c r="F6" s="594"/>
      <c r="G6" s="595"/>
      <c r="H6" s="595"/>
      <c r="I6" s="595"/>
      <c r="J6" s="595"/>
      <c r="K6" s="595"/>
      <c r="L6" s="595"/>
      <c r="M6" s="595"/>
      <c r="N6" s="595"/>
      <c r="O6" s="595"/>
      <c r="P6" s="595" t="s">
        <v>545</v>
      </c>
      <c r="Q6" s="595"/>
      <c r="R6" s="595"/>
      <c r="S6" s="595"/>
      <c r="T6" s="595"/>
      <c r="U6" s="595"/>
      <c r="V6" s="595"/>
      <c r="W6" s="595"/>
      <c r="X6" s="595"/>
      <c r="Y6" s="595"/>
      <c r="Z6" s="595"/>
      <c r="AA6" s="594"/>
      <c r="AB6" s="594"/>
      <c r="AH6" s="94" t="s">
        <v>153</v>
      </c>
      <c r="AI6" s="95"/>
      <c r="AJ6" s="96">
        <f>Z15</f>
        <v>322000000</v>
      </c>
    </row>
    <row r="7" spans="2:37" ht="15" customHeight="1">
      <c r="B7" s="595"/>
      <c r="C7" s="595"/>
      <c r="D7" s="595"/>
      <c r="E7" s="595"/>
      <c r="F7" s="595"/>
      <c r="G7" s="595"/>
      <c r="H7" s="595"/>
      <c r="I7" s="595"/>
      <c r="J7" s="595"/>
      <c r="K7" s="595"/>
      <c r="L7" s="595"/>
      <c r="M7" s="595"/>
      <c r="N7" s="595"/>
      <c r="O7" s="595"/>
      <c r="P7" s="595"/>
      <c r="Q7" s="595"/>
      <c r="R7" s="595"/>
      <c r="S7" s="595"/>
      <c r="T7" s="595"/>
      <c r="U7" s="595"/>
      <c r="V7" s="595"/>
      <c r="W7" s="595"/>
      <c r="X7" s="595"/>
      <c r="Y7" s="595"/>
      <c r="Z7" s="595"/>
      <c r="AA7" s="595"/>
      <c r="AB7" s="595"/>
      <c r="AH7" s="562" t="s">
        <v>154</v>
      </c>
      <c r="AI7" s="563"/>
      <c r="AJ7" s="97">
        <f>SUM(AJ3:AJ6)</f>
        <v>881754000</v>
      </c>
    </row>
    <row r="8" spans="2:37" ht="15" customHeight="1">
      <c r="B8" s="595"/>
      <c r="C8" s="595"/>
      <c r="D8" s="595"/>
      <c r="E8" s="595"/>
      <c r="F8" s="595"/>
      <c r="G8" s="595"/>
      <c r="H8" s="595"/>
      <c r="I8" s="595"/>
      <c r="J8" s="595"/>
      <c r="K8" s="595"/>
      <c r="L8" s="595"/>
      <c r="M8" s="595"/>
      <c r="N8" s="595"/>
      <c r="O8" s="595"/>
      <c r="P8" s="595"/>
      <c r="Q8" s="595"/>
      <c r="R8" s="595"/>
      <c r="S8" s="595"/>
      <c r="T8" s="595"/>
      <c r="U8" s="595"/>
      <c r="V8" s="595"/>
      <c r="W8" s="595"/>
      <c r="X8" s="595"/>
      <c r="Y8" s="595"/>
      <c r="Z8" s="595"/>
      <c r="AA8" s="595"/>
      <c r="AB8" s="595"/>
      <c r="AH8" s="94" t="s">
        <v>155</v>
      </c>
      <c r="AI8" s="95"/>
      <c r="AJ8" s="96">
        <f>H17</f>
        <v>14400000</v>
      </c>
    </row>
    <row r="9" spans="2:37">
      <c r="B9" s="456" t="s">
        <v>313</v>
      </c>
      <c r="C9" s="496" t="s">
        <v>485</v>
      </c>
      <c r="D9" s="497"/>
      <c r="E9" s="497"/>
      <c r="F9" s="497"/>
      <c r="G9" s="497"/>
      <c r="H9" s="497"/>
      <c r="I9" s="497"/>
      <c r="J9" s="498"/>
      <c r="K9" s="194" t="s">
        <v>486</v>
      </c>
      <c r="L9" s="496" t="s">
        <v>487</v>
      </c>
      <c r="M9" s="497"/>
      <c r="N9" s="497"/>
      <c r="O9" s="497"/>
      <c r="P9" s="498"/>
      <c r="Q9" s="496" t="s">
        <v>488</v>
      </c>
      <c r="R9" s="497"/>
      <c r="S9" s="497"/>
      <c r="T9" s="497"/>
      <c r="U9" s="498"/>
      <c r="V9" s="496" t="s">
        <v>489</v>
      </c>
      <c r="W9" s="497"/>
      <c r="X9" s="497"/>
      <c r="Y9" s="498"/>
      <c r="Z9" s="244" t="s">
        <v>490</v>
      </c>
      <c r="AA9" s="328"/>
      <c r="AB9" s="329" t="s">
        <v>491</v>
      </c>
      <c r="AH9" s="94" t="s">
        <v>155</v>
      </c>
      <c r="AI9" s="95"/>
      <c r="AJ9" s="96">
        <f>M17</f>
        <v>22300000</v>
      </c>
    </row>
    <row r="10" spans="2:37" ht="20.5" customHeight="1">
      <c r="B10" s="456"/>
      <c r="C10" s="490">
        <f>'Datos del contribuyente'!C6</f>
        <v>1015670654</v>
      </c>
      <c r="D10" s="491"/>
      <c r="E10" s="491"/>
      <c r="F10" s="491"/>
      <c r="G10" s="491"/>
      <c r="H10" s="491"/>
      <c r="I10" s="491"/>
      <c r="J10" s="492"/>
      <c r="K10" s="518">
        <f>'Datos del contribuyente'!C7</f>
        <v>1</v>
      </c>
      <c r="L10" s="499" t="str">
        <f>'Datos del contribuyente'!C8</f>
        <v>Vasquez</v>
      </c>
      <c r="M10" s="499"/>
      <c r="N10" s="499"/>
      <c r="O10" s="499"/>
      <c r="P10" s="499"/>
      <c r="Q10" s="499" t="str">
        <f>'Datos del contribuyente'!C9</f>
        <v>Florez</v>
      </c>
      <c r="R10" s="499"/>
      <c r="S10" s="499"/>
      <c r="T10" s="499"/>
      <c r="U10" s="499"/>
      <c r="V10" s="499" t="str">
        <f>'Datos del contribuyente'!C10</f>
        <v>Zorani</v>
      </c>
      <c r="W10" s="499"/>
      <c r="X10" s="499"/>
      <c r="Y10" s="499"/>
      <c r="Z10" s="499" t="str">
        <f>'Datos del contribuyente'!C11</f>
        <v>Diana</v>
      </c>
      <c r="AA10" s="499"/>
      <c r="AB10" s="499"/>
      <c r="AH10" s="94" t="s">
        <v>155</v>
      </c>
      <c r="AI10" s="95"/>
      <c r="AJ10" s="96">
        <f>S17</f>
        <v>15112000</v>
      </c>
    </row>
    <row r="11" spans="2:37" ht="20.5" customHeight="1">
      <c r="B11" s="456"/>
      <c r="C11" s="493"/>
      <c r="D11" s="494"/>
      <c r="E11" s="494"/>
      <c r="F11" s="494"/>
      <c r="G11" s="494"/>
      <c r="H11" s="494"/>
      <c r="I11" s="494"/>
      <c r="J11" s="495"/>
      <c r="K11" s="519"/>
      <c r="L11" s="499"/>
      <c r="M11" s="499"/>
      <c r="N11" s="499"/>
      <c r="O11" s="499"/>
      <c r="P11" s="499"/>
      <c r="Q11" s="499"/>
      <c r="R11" s="499"/>
      <c r="S11" s="499"/>
      <c r="T11" s="499"/>
      <c r="U11" s="499"/>
      <c r="V11" s="499"/>
      <c r="W11" s="499"/>
      <c r="X11" s="499"/>
      <c r="Y11" s="499"/>
      <c r="Z11" s="499"/>
      <c r="AA11" s="499"/>
      <c r="AB11" s="499"/>
      <c r="AH11" s="94" t="s">
        <v>155</v>
      </c>
      <c r="AI11" s="95"/>
      <c r="AJ11" s="96">
        <f>Z17</f>
        <v>233000000</v>
      </c>
    </row>
    <row r="12" spans="2:37" ht="30.75" customHeight="1">
      <c r="B12" s="330" t="s">
        <v>492</v>
      </c>
      <c r="C12" s="327"/>
      <c r="D12" s="327"/>
      <c r="E12" s="327"/>
      <c r="F12" s="368">
        <f>'Datos del contribuyente'!C12</f>
        <v>7490</v>
      </c>
      <c r="G12" s="525" t="s">
        <v>494</v>
      </c>
      <c r="H12" s="526"/>
      <c r="I12" s="332"/>
      <c r="J12" s="370">
        <f>'Datos del contribuyente'!C13</f>
        <v>0</v>
      </c>
      <c r="K12" s="330" t="s">
        <v>493</v>
      </c>
      <c r="L12" s="331"/>
      <c r="M12" s="332"/>
      <c r="N12" s="332"/>
      <c r="O12" s="332">
        <f>'Datos del contribuyente'!C14</f>
        <v>0</v>
      </c>
      <c r="P12" s="471" t="s">
        <v>495</v>
      </c>
      <c r="Q12" s="472"/>
      <c r="R12" s="472"/>
      <c r="S12" s="472"/>
      <c r="T12" s="473"/>
      <c r="U12" s="482"/>
      <c r="V12" s="483"/>
      <c r="W12" s="567" t="s">
        <v>496</v>
      </c>
      <c r="X12" s="567"/>
      <c r="Y12" s="567"/>
      <c r="Z12" s="567"/>
      <c r="AA12" s="567"/>
      <c r="AB12" s="353">
        <f>ROUND('Fac. Elctrónicas'!D29,-3)</f>
        <v>1800000</v>
      </c>
      <c r="AH12" s="94"/>
      <c r="AI12" s="95"/>
      <c r="AJ12" s="96"/>
    </row>
    <row r="13" spans="2:37" ht="24.5" customHeight="1">
      <c r="B13" s="500" t="s">
        <v>13</v>
      </c>
      <c r="C13" s="500"/>
      <c r="D13" s="500"/>
      <c r="E13" s="500"/>
      <c r="F13" s="468" t="s">
        <v>145</v>
      </c>
      <c r="G13" s="469"/>
      <c r="H13" s="469"/>
      <c r="I13" s="469"/>
      <c r="J13" s="469"/>
      <c r="K13" s="186">
        <v>29</v>
      </c>
      <c r="L13" s="454">
        <f>'Pat bruto'!G119</f>
        <v>4540790000</v>
      </c>
      <c r="M13" s="454"/>
      <c r="N13" s="454"/>
      <c r="O13" s="454"/>
      <c r="P13" s="481" t="s">
        <v>0</v>
      </c>
      <c r="Q13" s="481"/>
      <c r="R13" s="187">
        <v>30</v>
      </c>
      <c r="S13" s="454">
        <f>Deudas!D2</f>
        <v>410000000</v>
      </c>
      <c r="T13" s="454"/>
      <c r="U13" s="454"/>
      <c r="V13" s="481" t="s">
        <v>308</v>
      </c>
      <c r="W13" s="481"/>
      <c r="X13" s="481"/>
      <c r="Y13" s="187">
        <v>31</v>
      </c>
      <c r="Z13" s="454">
        <f>IF(L13&gt;S13,L13-S13,0)</f>
        <v>4130790000</v>
      </c>
      <c r="AA13" s="454"/>
      <c r="AB13" s="454"/>
      <c r="AH13" s="94" t="s">
        <v>156</v>
      </c>
      <c r="AI13" s="95"/>
      <c r="AJ13" s="96">
        <f>+Z16</f>
        <v>0</v>
      </c>
    </row>
    <row r="14" spans="2:37" ht="23" customHeight="1">
      <c r="B14" s="583" t="s">
        <v>147</v>
      </c>
      <c r="C14" s="482" t="s">
        <v>307</v>
      </c>
      <c r="D14" s="483"/>
      <c r="E14" s="483"/>
      <c r="F14" s="484"/>
      <c r="G14" s="501" t="s">
        <v>30</v>
      </c>
      <c r="H14" s="501"/>
      <c r="I14" s="501"/>
      <c r="J14" s="501"/>
      <c r="K14" s="501"/>
      <c r="L14" s="522" t="s">
        <v>497</v>
      </c>
      <c r="M14" s="523"/>
      <c r="N14" s="523"/>
      <c r="O14" s="523"/>
      <c r="P14" s="523"/>
      <c r="Q14" s="523"/>
      <c r="R14" s="524" t="s">
        <v>27</v>
      </c>
      <c r="S14" s="524"/>
      <c r="T14" s="524"/>
      <c r="U14" s="524"/>
      <c r="V14" s="524"/>
      <c r="W14" s="524"/>
      <c r="X14" s="524"/>
      <c r="Y14" s="524" t="s">
        <v>28</v>
      </c>
      <c r="Z14" s="524"/>
      <c r="AA14" s="524"/>
      <c r="AB14" s="524"/>
      <c r="AH14" s="627" t="s">
        <v>157</v>
      </c>
      <c r="AI14" s="628"/>
      <c r="AJ14" s="48">
        <f>'R.trabajo y honorarios'!F54+'R.trabajo y honorarios'!G58+'R.trabajo y honorarios'!G59+'R.trabajo y honorarios'!G60+'R.trabajo y honorarios'!G61+'R.no laboral y R gravables'!F66</f>
        <v>0</v>
      </c>
      <c r="AK14" s="46"/>
    </row>
    <row r="15" spans="2:37" ht="23" customHeight="1">
      <c r="B15" s="583"/>
      <c r="C15" s="462" t="s">
        <v>305</v>
      </c>
      <c r="D15" s="463"/>
      <c r="E15" s="463"/>
      <c r="F15" s="464"/>
      <c r="G15" s="191">
        <v>32</v>
      </c>
      <c r="H15" s="460">
        <f>'R.trabajo y honorarios'!H4</f>
        <v>260333000</v>
      </c>
      <c r="I15" s="460"/>
      <c r="J15" s="460"/>
      <c r="K15" s="460"/>
      <c r="L15" s="191">
        <v>43</v>
      </c>
      <c r="M15" s="460">
        <f>'R.trabajo y honorarios'!L4</f>
        <v>190000000</v>
      </c>
      <c r="N15" s="460"/>
      <c r="O15" s="460"/>
      <c r="P15" s="460"/>
      <c r="Q15" s="460"/>
      <c r="R15" s="191">
        <v>58</v>
      </c>
      <c r="S15" s="460">
        <f>'R.capital'!G2</f>
        <v>109421000</v>
      </c>
      <c r="T15" s="460"/>
      <c r="U15" s="460"/>
      <c r="V15" s="460"/>
      <c r="W15" s="460"/>
      <c r="X15" s="460"/>
      <c r="Y15" s="191">
        <v>74</v>
      </c>
      <c r="Z15" s="460">
        <f>'R.no laboral y R gravables'!G3</f>
        <v>322000000</v>
      </c>
      <c r="AA15" s="460"/>
      <c r="AB15" s="460"/>
      <c r="AH15" s="568" t="s">
        <v>158</v>
      </c>
      <c r="AI15" s="568"/>
      <c r="AJ15" s="88">
        <f>AJ7-AJ8-AJ9-AJ10-AJ13-AJ14-AJ11</f>
        <v>596942000</v>
      </c>
      <c r="AK15" s="46"/>
    </row>
    <row r="16" spans="2:37" ht="23" customHeight="1">
      <c r="B16" s="583"/>
      <c r="C16" s="505" t="s">
        <v>45</v>
      </c>
      <c r="D16" s="506"/>
      <c r="E16" s="506"/>
      <c r="F16" s="507"/>
      <c r="G16" s="512"/>
      <c r="H16" s="513"/>
      <c r="I16" s="513"/>
      <c r="J16" s="513"/>
      <c r="K16" s="513"/>
      <c r="L16" s="513"/>
      <c r="M16" s="513"/>
      <c r="N16" s="513"/>
      <c r="O16" s="513"/>
      <c r="P16" s="513"/>
      <c r="Q16" s="513"/>
      <c r="R16" s="513"/>
      <c r="S16" s="513"/>
      <c r="T16" s="513"/>
      <c r="U16" s="513"/>
      <c r="V16" s="513"/>
      <c r="W16" s="513"/>
      <c r="X16" s="513"/>
      <c r="Y16" s="190">
        <v>75</v>
      </c>
      <c r="Z16" s="504">
        <f>'R.no laboral y R gravables'!G18</f>
        <v>0</v>
      </c>
      <c r="AA16" s="504"/>
      <c r="AB16" s="504"/>
      <c r="AH16" s="629" t="s">
        <v>159</v>
      </c>
      <c r="AI16" s="629"/>
      <c r="AJ16" s="48">
        <f>AJ15*0.4</f>
        <v>238776800</v>
      </c>
    </row>
    <row r="17" spans="2:44" ht="23" customHeight="1">
      <c r="B17" s="583"/>
      <c r="C17" s="462" t="s">
        <v>24</v>
      </c>
      <c r="D17" s="463"/>
      <c r="E17" s="463"/>
      <c r="F17" s="464"/>
      <c r="G17" s="191">
        <v>33</v>
      </c>
      <c r="H17" s="460">
        <f>'R.trabajo y honorarios'!H21</f>
        <v>14400000</v>
      </c>
      <c r="I17" s="460"/>
      <c r="J17" s="460"/>
      <c r="K17" s="460"/>
      <c r="L17" s="191">
        <v>44</v>
      </c>
      <c r="M17" s="502">
        <f>'R.trabajo y honorarios'!L21</f>
        <v>22300000</v>
      </c>
      <c r="N17" s="502"/>
      <c r="O17" s="502"/>
      <c r="P17" s="502"/>
      <c r="Q17" s="502"/>
      <c r="R17" s="191">
        <v>59</v>
      </c>
      <c r="S17" s="503">
        <f>'R.capital'!G37</f>
        <v>15112000</v>
      </c>
      <c r="T17" s="503"/>
      <c r="U17" s="503"/>
      <c r="V17" s="503"/>
      <c r="W17" s="503"/>
      <c r="X17" s="503"/>
      <c r="Y17" s="191">
        <v>76</v>
      </c>
      <c r="Z17" s="460">
        <f>'R.no laboral y R gravables'!G24</f>
        <v>233000000</v>
      </c>
      <c r="AA17" s="460"/>
      <c r="AB17" s="460"/>
      <c r="AH17" s="629" t="s">
        <v>520</v>
      </c>
      <c r="AI17" s="629"/>
      <c r="AJ17" s="48">
        <f>ROUND('R.trabajo y honorarios'!H74*1340,-3)</f>
        <v>66731000</v>
      </c>
    </row>
    <row r="18" spans="2:44" ht="23" customHeight="1">
      <c r="B18" s="583"/>
      <c r="C18" s="480" t="s">
        <v>304</v>
      </c>
      <c r="D18" s="480"/>
      <c r="E18" s="480"/>
      <c r="F18" s="480"/>
      <c r="G18" s="510"/>
      <c r="H18" s="510"/>
      <c r="I18" s="510"/>
      <c r="J18" s="510"/>
      <c r="K18" s="510"/>
      <c r="L18" s="190">
        <v>45</v>
      </c>
      <c r="M18" s="511">
        <f>'R.trabajo y honorarios'!L34</f>
        <v>83000000</v>
      </c>
      <c r="N18" s="511"/>
      <c r="O18" s="511"/>
      <c r="P18" s="511"/>
      <c r="Q18" s="511"/>
      <c r="R18" s="190">
        <v>60</v>
      </c>
      <c r="S18" s="508">
        <f>'R.capital'!G45</f>
        <v>20000000</v>
      </c>
      <c r="T18" s="508"/>
      <c r="U18" s="508"/>
      <c r="V18" s="508"/>
      <c r="W18" s="508"/>
      <c r="X18" s="508"/>
      <c r="Y18" s="190">
        <v>77</v>
      </c>
      <c r="Z18" s="520">
        <f>'R.no laboral y R gravables'!G38</f>
        <v>64000000</v>
      </c>
      <c r="AA18" s="520"/>
      <c r="AB18" s="520"/>
      <c r="AH18" s="568" t="s">
        <v>160</v>
      </c>
      <c r="AI18" s="568"/>
      <c r="AJ18" s="88">
        <f>MIN(AJ17,AJ16)</f>
        <v>66731000</v>
      </c>
    </row>
    <row r="19" spans="2:44" ht="23" customHeight="1">
      <c r="B19" s="583"/>
      <c r="C19" s="481" t="s">
        <v>209</v>
      </c>
      <c r="D19" s="481"/>
      <c r="E19" s="481"/>
      <c r="F19" s="481"/>
      <c r="G19" s="191">
        <v>34</v>
      </c>
      <c r="H19" s="460">
        <f>IF(H15-H17-G18&gt;0,H15-H17-G18,0)</f>
        <v>245933000</v>
      </c>
      <c r="I19" s="460"/>
      <c r="J19" s="460"/>
      <c r="K19" s="460"/>
      <c r="L19" s="191">
        <v>46</v>
      </c>
      <c r="M19" s="502">
        <f>IF(M15-M17-M18&gt;0,M15-M17-M18,0)</f>
        <v>84700000</v>
      </c>
      <c r="N19" s="502"/>
      <c r="O19" s="502"/>
      <c r="P19" s="509"/>
      <c r="Q19" s="509"/>
      <c r="R19" s="191">
        <v>61</v>
      </c>
      <c r="S19" s="503">
        <f>IF(S15-S17-S18&gt;0,S15-S17-S18,0)</f>
        <v>74309000</v>
      </c>
      <c r="T19" s="503"/>
      <c r="U19" s="503"/>
      <c r="V19" s="503"/>
      <c r="W19" s="503"/>
      <c r="X19" s="503"/>
      <c r="Y19" s="191">
        <v>78</v>
      </c>
      <c r="Z19" s="521">
        <f>IF(Z15-Z17-Z18-Z16&gt;0,Z15-Z17-Z18-Z16,0)</f>
        <v>25000000</v>
      </c>
      <c r="AA19" s="521"/>
      <c r="AB19" s="521"/>
      <c r="AC19" s="564"/>
      <c r="AD19" s="565"/>
      <c r="AE19" s="565"/>
      <c r="AF19" s="565"/>
      <c r="AG19" s="566"/>
      <c r="AH19" s="629" t="s">
        <v>161</v>
      </c>
      <c r="AI19" s="629"/>
      <c r="AJ19" s="48">
        <f>AJ14</f>
        <v>0</v>
      </c>
    </row>
    <row r="20" spans="2:44" ht="23" customHeight="1">
      <c r="B20" s="583"/>
      <c r="C20" s="480" t="s">
        <v>303</v>
      </c>
      <c r="D20" s="480"/>
      <c r="E20" s="480"/>
      <c r="F20" s="480"/>
      <c r="G20" s="512"/>
      <c r="H20" s="513"/>
      <c r="I20" s="513"/>
      <c r="J20" s="513"/>
      <c r="K20" s="513"/>
      <c r="L20" s="513"/>
      <c r="M20" s="513"/>
      <c r="N20" s="513"/>
      <c r="O20" s="513"/>
      <c r="P20" s="513"/>
      <c r="Q20" s="513"/>
      <c r="R20" s="191">
        <v>62</v>
      </c>
      <c r="S20" s="504">
        <f>'R.capital'!G59</f>
        <v>0</v>
      </c>
      <c r="T20" s="504"/>
      <c r="U20" s="504"/>
      <c r="V20" s="504"/>
      <c r="W20" s="504"/>
      <c r="X20" s="504"/>
      <c r="Y20" s="191">
        <v>79</v>
      </c>
      <c r="Z20" s="504">
        <f>'R.no laboral y R gravables'!G58</f>
        <v>0</v>
      </c>
      <c r="AA20" s="504"/>
      <c r="AB20" s="504"/>
      <c r="AH20" s="568" t="s">
        <v>162</v>
      </c>
      <c r="AI20" s="568"/>
      <c r="AJ20" s="88">
        <f>SUM(AJ18:AJ19)</f>
        <v>66731000</v>
      </c>
      <c r="AK20" t="s">
        <v>402</v>
      </c>
    </row>
    <row r="21" spans="2:44" ht="23" customHeight="1">
      <c r="B21" s="583"/>
      <c r="C21" s="456" t="s">
        <v>23</v>
      </c>
      <c r="D21" s="462" t="s">
        <v>302</v>
      </c>
      <c r="E21" s="463"/>
      <c r="F21" s="464"/>
      <c r="G21" s="191">
        <v>35</v>
      </c>
      <c r="H21" s="457">
        <f>ROUND('R.trabajo y honorarios'!G50,-3)</f>
        <v>22000000</v>
      </c>
      <c r="I21" s="458"/>
      <c r="J21" s="458"/>
      <c r="K21" s="459"/>
      <c r="L21" s="191">
        <v>47</v>
      </c>
      <c r="M21" s="460">
        <f>'R.trabajo y honorarios'!K50</f>
        <v>0</v>
      </c>
      <c r="N21" s="460"/>
      <c r="O21" s="460"/>
      <c r="P21" s="461"/>
      <c r="Q21" s="461"/>
      <c r="R21" s="191">
        <v>63</v>
      </c>
      <c r="S21" s="460">
        <f>ROUND('R.capital'!F53,-3)</f>
        <v>0</v>
      </c>
      <c r="T21" s="460"/>
      <c r="U21" s="460"/>
      <c r="V21" s="460"/>
      <c r="W21" s="460"/>
      <c r="X21" s="460"/>
      <c r="Y21" s="191">
        <v>80</v>
      </c>
      <c r="Z21" s="460">
        <f>ROUND('R.no laboral y R gravables'!F64,-3)</f>
        <v>0</v>
      </c>
      <c r="AA21" s="460"/>
      <c r="AB21" s="460"/>
      <c r="AH21" s="47" t="s">
        <v>163</v>
      </c>
      <c r="AI21" s="87"/>
      <c r="AJ21" s="48">
        <f>H26+H23</f>
        <v>112609000</v>
      </c>
    </row>
    <row r="22" spans="2:44" ht="23" customHeight="1">
      <c r="B22" s="583"/>
      <c r="C22" s="456"/>
      <c r="D22" s="465" t="s">
        <v>301</v>
      </c>
      <c r="E22" s="466"/>
      <c r="F22" s="467"/>
      <c r="G22" s="190">
        <v>36</v>
      </c>
      <c r="H22" s="504">
        <f>ROUND(SUM('R.trabajo y honorarios'!G52:G62),-3)</f>
        <v>59675000</v>
      </c>
      <c r="I22" s="504"/>
      <c r="J22" s="504"/>
      <c r="K22" s="504"/>
      <c r="L22" s="190">
        <v>48</v>
      </c>
      <c r="M22" s="504">
        <v>0</v>
      </c>
      <c r="N22" s="504"/>
      <c r="O22" s="504"/>
      <c r="P22" s="504"/>
      <c r="Q22" s="504"/>
      <c r="R22" s="190">
        <v>64</v>
      </c>
      <c r="S22" s="504">
        <v>0</v>
      </c>
      <c r="T22" s="504"/>
      <c r="U22" s="504"/>
      <c r="V22" s="504"/>
      <c r="W22" s="504"/>
      <c r="X22" s="504"/>
      <c r="Y22" s="190">
        <v>81</v>
      </c>
      <c r="Z22" s="504">
        <f>ROUND('R.no laboral y R gravables'!F66+'R.no laboral y R gravables'!F67+'R.no laboral y R gravables'!F68,-3)</f>
        <v>0</v>
      </c>
      <c r="AA22" s="504"/>
      <c r="AB22" s="504"/>
      <c r="AH22" s="47" t="s">
        <v>164</v>
      </c>
      <c r="AI22" s="87"/>
      <c r="AJ22" s="46">
        <f>MIN(AJ21,AJ20)</f>
        <v>66731000</v>
      </c>
    </row>
    <row r="23" spans="2:44" ht="23" customHeight="1">
      <c r="B23" s="583"/>
      <c r="C23" s="456"/>
      <c r="D23" s="468" t="s">
        <v>300</v>
      </c>
      <c r="E23" s="469"/>
      <c r="F23" s="470"/>
      <c r="G23" s="186">
        <v>37</v>
      </c>
      <c r="H23" s="534">
        <f>(H21+H22)</f>
        <v>81675000</v>
      </c>
      <c r="I23" s="535"/>
      <c r="J23" s="535"/>
      <c r="K23" s="536"/>
      <c r="L23" s="186">
        <v>49</v>
      </c>
      <c r="M23" s="537">
        <f>M21+M22</f>
        <v>0</v>
      </c>
      <c r="N23" s="537"/>
      <c r="O23" s="537"/>
      <c r="P23" s="514"/>
      <c r="Q23" s="514"/>
      <c r="R23" s="186">
        <v>65</v>
      </c>
      <c r="S23" s="537">
        <f>S21+S22</f>
        <v>0</v>
      </c>
      <c r="T23" s="537"/>
      <c r="U23" s="537"/>
      <c r="V23" s="537"/>
      <c r="W23" s="537"/>
      <c r="X23" s="537"/>
      <c r="Y23" s="186">
        <v>82</v>
      </c>
      <c r="Z23" s="489">
        <f>Z21+Z22</f>
        <v>0</v>
      </c>
      <c r="AA23" s="489"/>
      <c r="AB23" s="489"/>
      <c r="AD23" s="99"/>
      <c r="AH23" s="100" t="s">
        <v>229</v>
      </c>
      <c r="AI23" s="100"/>
      <c r="AJ23" s="101">
        <f>AJ20-AJ22</f>
        <v>0</v>
      </c>
      <c r="AQ23" t="s">
        <v>471</v>
      </c>
      <c r="AR23" s="46">
        <f>H15</f>
        <v>260333000</v>
      </c>
    </row>
    <row r="24" spans="2:44" ht="23" customHeight="1">
      <c r="B24" s="583"/>
      <c r="C24" s="456" t="s">
        <v>299</v>
      </c>
      <c r="D24" s="465" t="s">
        <v>298</v>
      </c>
      <c r="E24" s="466"/>
      <c r="F24" s="467"/>
      <c r="G24" s="190">
        <v>38</v>
      </c>
      <c r="H24" s="538">
        <f>ROUND('R.trabajo y honorarios'!G63,-3)</f>
        <v>0</v>
      </c>
      <c r="I24" s="539"/>
      <c r="J24" s="539"/>
      <c r="K24" s="540"/>
      <c r="L24" s="190">
        <v>50</v>
      </c>
      <c r="M24" s="504">
        <f>ROUND('R.trabajo y honorarios'!K63,-3)</f>
        <v>18000000</v>
      </c>
      <c r="N24" s="504"/>
      <c r="O24" s="504"/>
      <c r="P24" s="541"/>
      <c r="Q24" s="541"/>
      <c r="R24" s="190">
        <v>66</v>
      </c>
      <c r="S24" s="504">
        <f>ROUND('R.capital'!F55,-3)</f>
        <v>0</v>
      </c>
      <c r="T24" s="504"/>
      <c r="U24" s="504"/>
      <c r="V24" s="504"/>
      <c r="W24" s="504"/>
      <c r="X24" s="504"/>
      <c r="Y24" s="190">
        <v>83</v>
      </c>
      <c r="Z24" s="504">
        <f>ROUND('R.no laboral y R gravables'!F69,-3)</f>
        <v>0</v>
      </c>
      <c r="AA24" s="504"/>
      <c r="AB24" s="504"/>
      <c r="AH24" s="47" t="s">
        <v>325</v>
      </c>
      <c r="AI24" s="87"/>
      <c r="AJ24" s="48">
        <f>M23+M26</f>
        <v>18000000</v>
      </c>
      <c r="AQ24" t="s">
        <v>472</v>
      </c>
      <c r="AR24" s="46">
        <f>S15</f>
        <v>109421000</v>
      </c>
    </row>
    <row r="25" spans="2:44" ht="23" customHeight="1">
      <c r="B25" s="583"/>
      <c r="C25" s="456"/>
      <c r="D25" s="462" t="s">
        <v>297</v>
      </c>
      <c r="E25" s="463"/>
      <c r="F25" s="464"/>
      <c r="G25" s="191">
        <v>39</v>
      </c>
      <c r="H25" s="460">
        <f>ROUND('R.trabajo y honorarios'!G64+'R.trabajo y honorarios'!G65+'R.trabajo y honorarios'!G66+'R.trabajo y honorarios'!G67,-3)</f>
        <v>30934000</v>
      </c>
      <c r="I25" s="460"/>
      <c r="J25" s="460"/>
      <c r="K25" s="460"/>
      <c r="L25" s="191">
        <v>51</v>
      </c>
      <c r="M25" s="460">
        <f>ROUND('R.trabajo y honorarios'!K64+'R.trabajo y honorarios'!K65+'R.trabajo y honorarios'!K66+'R.trabajo y honorarios'!K67,-3)</f>
        <v>0</v>
      </c>
      <c r="N25" s="460"/>
      <c r="O25" s="460"/>
      <c r="P25" s="460"/>
      <c r="Q25" s="460"/>
      <c r="R25" s="191">
        <v>67</v>
      </c>
      <c r="S25" s="460">
        <f>ROUND('R.capital'!F56+'R.capital'!F57,-3)</f>
        <v>0</v>
      </c>
      <c r="T25" s="460"/>
      <c r="U25" s="460"/>
      <c r="V25" s="460"/>
      <c r="W25" s="460"/>
      <c r="X25" s="460"/>
      <c r="Y25" s="191">
        <v>84</v>
      </c>
      <c r="Z25" s="460">
        <f>ROUND(('R.no laboral y R gravables'!F70+'R.no laboral y R gravables'!F71),-3)</f>
        <v>0</v>
      </c>
      <c r="AA25" s="460"/>
      <c r="AB25" s="460"/>
      <c r="AH25" s="47" t="s">
        <v>326</v>
      </c>
      <c r="AI25" s="87"/>
      <c r="AJ25" s="46">
        <f>MIN(AJ24,AJ23)</f>
        <v>0</v>
      </c>
      <c r="AQ25" t="s">
        <v>473</v>
      </c>
      <c r="AR25" s="46">
        <f>Z15</f>
        <v>322000000</v>
      </c>
    </row>
    <row r="26" spans="2:44" ht="23" customHeight="1">
      <c r="B26" s="583"/>
      <c r="C26" s="456"/>
      <c r="D26" s="471" t="s">
        <v>296</v>
      </c>
      <c r="E26" s="472"/>
      <c r="F26" s="473"/>
      <c r="G26" s="192">
        <v>40</v>
      </c>
      <c r="H26" s="474">
        <f>SUM(H24:K25)</f>
        <v>30934000</v>
      </c>
      <c r="I26" s="475"/>
      <c r="J26" s="475"/>
      <c r="K26" s="476"/>
      <c r="L26" s="192">
        <v>52</v>
      </c>
      <c r="M26" s="477">
        <f>ROUND(M24+M25,-3)</f>
        <v>18000000</v>
      </c>
      <c r="N26" s="477"/>
      <c r="O26" s="477"/>
      <c r="P26" s="478"/>
      <c r="Q26" s="478"/>
      <c r="R26" s="192">
        <v>68</v>
      </c>
      <c r="S26" s="477">
        <f>S24+S25</f>
        <v>0</v>
      </c>
      <c r="T26" s="477"/>
      <c r="U26" s="477"/>
      <c r="V26" s="477"/>
      <c r="W26" s="477"/>
      <c r="X26" s="477"/>
      <c r="Y26" s="192">
        <v>85</v>
      </c>
      <c r="Z26" s="477">
        <f>Z24+Z25</f>
        <v>0</v>
      </c>
      <c r="AA26" s="477"/>
      <c r="AB26" s="477"/>
      <c r="AH26" s="100" t="s">
        <v>229</v>
      </c>
      <c r="AI26" s="100"/>
      <c r="AJ26" s="101">
        <f>AJ23-AJ25</f>
        <v>0</v>
      </c>
      <c r="AQ26" t="s">
        <v>474</v>
      </c>
      <c r="AR26" s="46">
        <f>J39+J42+J43</f>
        <v>152000000</v>
      </c>
    </row>
    <row r="27" spans="2:44" ht="23" customHeight="1">
      <c r="B27" s="583"/>
      <c r="C27" s="481" t="s">
        <v>295</v>
      </c>
      <c r="D27" s="481"/>
      <c r="E27" s="481"/>
      <c r="F27" s="481"/>
      <c r="G27" s="186">
        <v>41</v>
      </c>
      <c r="H27" s="537">
        <f>AJ22</f>
        <v>66731000</v>
      </c>
      <c r="I27" s="537"/>
      <c r="J27" s="537"/>
      <c r="K27" s="537"/>
      <c r="L27" s="186">
        <v>53</v>
      </c>
      <c r="M27" s="514">
        <f>AJ25</f>
        <v>0</v>
      </c>
      <c r="N27" s="515"/>
      <c r="O27" s="515"/>
      <c r="P27" s="515"/>
      <c r="Q27" s="516"/>
      <c r="R27" s="186">
        <v>69</v>
      </c>
      <c r="S27" s="537">
        <f>AJ28</f>
        <v>0</v>
      </c>
      <c r="T27" s="537"/>
      <c r="U27" s="537"/>
      <c r="V27" s="537"/>
      <c r="W27" s="537"/>
      <c r="X27" s="537"/>
      <c r="Y27" s="186">
        <v>86</v>
      </c>
      <c r="Z27" s="537">
        <f>AJ31</f>
        <v>0</v>
      </c>
      <c r="AA27" s="537"/>
      <c r="AB27" s="537"/>
      <c r="AH27" s="47" t="s">
        <v>165</v>
      </c>
      <c r="AI27" s="87"/>
      <c r="AJ27" s="48">
        <f>S23+S26</f>
        <v>0</v>
      </c>
      <c r="AQ27" t="s">
        <v>475</v>
      </c>
      <c r="AR27" s="46">
        <f>J47</f>
        <v>450000000</v>
      </c>
    </row>
    <row r="28" spans="2:44" ht="23" customHeight="1">
      <c r="B28" s="583"/>
      <c r="C28" s="546" t="s">
        <v>294</v>
      </c>
      <c r="D28" s="546"/>
      <c r="E28" s="546"/>
      <c r="F28" s="546"/>
      <c r="G28" s="512"/>
      <c r="H28" s="513"/>
      <c r="I28" s="513"/>
      <c r="J28" s="513"/>
      <c r="K28" s="513"/>
      <c r="L28" s="192">
        <v>54</v>
      </c>
      <c r="M28" s="488">
        <f>IF(M15-M17-M18-M27&gt;0,M15-M17-M18-M27,0)</f>
        <v>84700000</v>
      </c>
      <c r="N28" s="488"/>
      <c r="O28" s="488"/>
      <c r="P28" s="517"/>
      <c r="Q28" s="517"/>
      <c r="R28" s="192">
        <v>70</v>
      </c>
      <c r="S28" s="488">
        <f>IF(S15+S20-S17-S18-S27&gt;0,S15+S20-S17-S18-S27,0)</f>
        <v>74309000</v>
      </c>
      <c r="T28" s="488"/>
      <c r="U28" s="488"/>
      <c r="V28" s="488"/>
      <c r="W28" s="488"/>
      <c r="X28" s="488"/>
      <c r="Y28" s="190">
        <v>87</v>
      </c>
      <c r="Z28" s="488">
        <f>IF(Z15+Z20-Z16-Z17-Z18-Z27&gt;0,Z15+Z20-Z16-Z17-Z18-Z27,0)</f>
        <v>25000000</v>
      </c>
      <c r="AA28" s="488"/>
      <c r="AB28" s="488"/>
      <c r="AH28" s="47" t="s">
        <v>166</v>
      </c>
      <c r="AI28" s="87"/>
      <c r="AJ28" s="48">
        <f>ROUND(IF(AJ23&gt;AJ27,AJ27,AJ23),-3)</f>
        <v>0</v>
      </c>
      <c r="AQ28" s="100" t="s">
        <v>402</v>
      </c>
      <c r="AR28" s="101">
        <f>SUM(AR23:AR27)</f>
        <v>1293754000</v>
      </c>
    </row>
    <row r="29" spans="2:44" ht="23" customHeight="1">
      <c r="B29" s="583"/>
      <c r="C29" s="481" t="s">
        <v>293</v>
      </c>
      <c r="D29" s="481"/>
      <c r="E29" s="481"/>
      <c r="F29" s="481"/>
      <c r="G29" s="543"/>
      <c r="H29" s="544"/>
      <c r="I29" s="544"/>
      <c r="J29" s="544"/>
      <c r="K29" s="544"/>
      <c r="L29" s="186">
        <v>55</v>
      </c>
      <c r="M29" s="514">
        <f>-IF(M15-M17-M18-M27&lt;0,M15-M17-M18-M27,0)</f>
        <v>0</v>
      </c>
      <c r="N29" s="515"/>
      <c r="O29" s="515"/>
      <c r="P29" s="515"/>
      <c r="Q29" s="516"/>
      <c r="R29" s="186">
        <v>71</v>
      </c>
      <c r="S29" s="485">
        <f>-IF(S15+S20-S17-S18-S27&lt;0,S15+S20-S17-S18-S27,0)</f>
        <v>0</v>
      </c>
      <c r="T29" s="486"/>
      <c r="U29" s="486"/>
      <c r="V29" s="486"/>
      <c r="W29" s="486"/>
      <c r="X29" s="487"/>
      <c r="Y29" s="191">
        <v>88</v>
      </c>
      <c r="Z29" s="485">
        <f>-IF(Z15+Z20-Z17-Z18-Z27&lt;0,Z15+Z20-Z17-Z18-Z27,0)</f>
        <v>0</v>
      </c>
      <c r="AA29" s="486"/>
      <c r="AB29" s="487"/>
      <c r="AH29" s="100" t="s">
        <v>229</v>
      </c>
      <c r="AI29" s="100"/>
      <c r="AJ29" s="101">
        <f>AJ26-AJ28</f>
        <v>0</v>
      </c>
    </row>
    <row r="30" spans="2:44" ht="23" customHeight="1">
      <c r="B30" s="583"/>
      <c r="C30" s="542" t="s">
        <v>292</v>
      </c>
      <c r="D30" s="542"/>
      <c r="E30" s="542"/>
      <c r="F30" s="542"/>
      <c r="G30" s="543"/>
      <c r="H30" s="544"/>
      <c r="I30" s="544"/>
      <c r="J30" s="544"/>
      <c r="K30" s="544"/>
      <c r="L30" s="190">
        <v>56</v>
      </c>
      <c r="M30" s="488">
        <f>ROUND('R.trabajo y honorarios'!L71,-3)</f>
        <v>0</v>
      </c>
      <c r="N30" s="488"/>
      <c r="O30" s="488"/>
      <c r="P30" s="517"/>
      <c r="Q30" s="517"/>
      <c r="R30" s="190">
        <v>72</v>
      </c>
      <c r="S30" s="488">
        <f>ROUND('R.capital'!G66,-3)</f>
        <v>0</v>
      </c>
      <c r="T30" s="488"/>
      <c r="U30" s="488"/>
      <c r="V30" s="488"/>
      <c r="W30" s="488"/>
      <c r="X30" s="488"/>
      <c r="Y30" s="190">
        <v>89</v>
      </c>
      <c r="Z30" s="488">
        <f>ROUND('R.no laboral y R gravables'!G80,-3)</f>
        <v>0</v>
      </c>
      <c r="AA30" s="488"/>
      <c r="AB30" s="488"/>
      <c r="AH30" s="47" t="s">
        <v>167</v>
      </c>
      <c r="AI30" s="87"/>
      <c r="AJ30" s="48">
        <f>Z23+Z26</f>
        <v>0</v>
      </c>
      <c r="AQ30" t="s">
        <v>476</v>
      </c>
      <c r="AR30" s="46">
        <f>AR25+AR24</f>
        <v>431421000</v>
      </c>
    </row>
    <row r="31" spans="2:44" ht="23" customHeight="1">
      <c r="B31" s="583"/>
      <c r="C31" s="481" t="s">
        <v>291</v>
      </c>
      <c r="D31" s="481"/>
      <c r="E31" s="481"/>
      <c r="F31" s="481"/>
      <c r="G31" s="186">
        <v>42</v>
      </c>
      <c r="H31" s="545">
        <f>H19-H27</f>
        <v>179202000</v>
      </c>
      <c r="I31" s="545"/>
      <c r="J31" s="545"/>
      <c r="K31" s="545"/>
      <c r="L31" s="186">
        <v>57</v>
      </c>
      <c r="M31" s="489">
        <f>M28-M30</f>
        <v>84700000</v>
      </c>
      <c r="N31" s="489"/>
      <c r="O31" s="489"/>
      <c r="P31" s="489"/>
      <c r="Q31" s="489"/>
      <c r="R31" s="186">
        <v>73</v>
      </c>
      <c r="S31" s="489">
        <f>S28-S30</f>
        <v>74309000</v>
      </c>
      <c r="T31" s="489"/>
      <c r="U31" s="489"/>
      <c r="V31" s="489"/>
      <c r="W31" s="489"/>
      <c r="X31" s="489"/>
      <c r="Y31" s="186">
        <v>90</v>
      </c>
      <c r="Z31" s="489">
        <f>Z28-Z30</f>
        <v>25000000</v>
      </c>
      <c r="AA31" s="489"/>
      <c r="AB31" s="489"/>
      <c r="AH31" s="47" t="s">
        <v>168</v>
      </c>
      <c r="AI31" s="87"/>
      <c r="AJ31" s="48">
        <f>ROUND(IF(AJ29&gt;AJ30,AJ30,AJ29),-3)</f>
        <v>0</v>
      </c>
    </row>
    <row r="32" spans="2:44" ht="25.5" customHeight="1">
      <c r="B32" s="583"/>
      <c r="C32" s="546" t="s">
        <v>290</v>
      </c>
      <c r="D32" s="546"/>
      <c r="E32" s="192">
        <v>91</v>
      </c>
      <c r="F32" s="454">
        <f>ROUND((H27+H31+M27+M31+S27+S31+Z27+Z31),-3)</f>
        <v>429942000</v>
      </c>
      <c r="G32" s="454"/>
      <c r="H32" s="454"/>
      <c r="I32" s="471" t="s">
        <v>289</v>
      </c>
      <c r="J32" s="473"/>
      <c r="K32" s="192">
        <v>92</v>
      </c>
      <c r="L32" s="631">
        <f>H27+M27+S27+Z27+AB12+M52</f>
        <v>75308000</v>
      </c>
      <c r="M32" s="632"/>
      <c r="N32" s="632"/>
      <c r="O32" s="633"/>
      <c r="P32" s="546" t="s">
        <v>288</v>
      </c>
      <c r="Q32" s="500"/>
      <c r="R32" s="192">
        <v>93</v>
      </c>
      <c r="S32" s="454">
        <f>F32-L32</f>
        <v>354634000</v>
      </c>
      <c r="T32" s="454"/>
      <c r="U32" s="454"/>
      <c r="V32" s="454"/>
      <c r="W32" s="570" t="s">
        <v>498</v>
      </c>
      <c r="X32" s="571"/>
      <c r="Y32" s="572"/>
      <c r="Z32" s="190">
        <v>94</v>
      </c>
      <c r="AA32" s="454">
        <f>+M30+S30+Z30</f>
        <v>0</v>
      </c>
      <c r="AB32" s="454"/>
      <c r="AD32" s="99"/>
    </row>
    <row r="33" spans="2:35" ht="23" customHeight="1">
      <c r="B33" s="583"/>
      <c r="C33" s="481" t="s">
        <v>499</v>
      </c>
      <c r="D33" s="481"/>
      <c r="E33" s="186">
        <v>95</v>
      </c>
      <c r="F33" s="545">
        <v>0</v>
      </c>
      <c r="G33" s="545"/>
      <c r="H33" s="545"/>
      <c r="I33" s="468" t="s">
        <v>287</v>
      </c>
      <c r="J33" s="470"/>
      <c r="K33" s="186">
        <v>96</v>
      </c>
      <c r="L33" s="545">
        <f>+'R.no laboral y R gravables'!G83</f>
        <v>0</v>
      </c>
      <c r="M33" s="545"/>
      <c r="N33" s="545"/>
      <c r="O33" s="545"/>
      <c r="P33" s="481" t="s">
        <v>286</v>
      </c>
      <c r="Q33" s="569"/>
      <c r="R33" s="186">
        <v>97</v>
      </c>
      <c r="S33" s="545">
        <f>S32+L33-AA32-F33</f>
        <v>354634000</v>
      </c>
      <c r="T33" s="545"/>
      <c r="U33" s="545"/>
      <c r="V33" s="545"/>
      <c r="W33" s="462" t="s">
        <v>10</v>
      </c>
      <c r="X33" s="463"/>
      <c r="Y33" s="464"/>
      <c r="Z33" s="191">
        <v>98</v>
      </c>
      <c r="AA33" s="550">
        <f>'renta presunt'!E17</f>
        <v>0</v>
      </c>
      <c r="AB33" s="550"/>
    </row>
    <row r="34" spans="2:35" ht="23" customHeight="1">
      <c r="B34" s="583" t="s">
        <v>285</v>
      </c>
      <c r="C34" s="480" t="s">
        <v>146</v>
      </c>
      <c r="D34" s="480"/>
      <c r="E34" s="480"/>
      <c r="F34" s="480"/>
      <c r="G34" s="480"/>
      <c r="H34" s="480"/>
      <c r="I34" s="190">
        <v>99</v>
      </c>
      <c r="J34" s="454">
        <f>'C.pensiones'!F2</f>
        <v>0</v>
      </c>
      <c r="K34" s="454"/>
      <c r="L34" s="454"/>
      <c r="M34" s="454"/>
      <c r="N34" s="454"/>
      <c r="O34" s="454"/>
      <c r="P34" s="547" t="s">
        <v>150</v>
      </c>
      <c r="Q34" s="456" t="s">
        <v>284</v>
      </c>
      <c r="R34" s="614" t="s">
        <v>502</v>
      </c>
      <c r="S34" s="615"/>
      <c r="T34" s="615"/>
      <c r="U34" s="615"/>
      <c r="V34" s="615"/>
      <c r="W34" s="616"/>
      <c r="X34" s="191">
        <v>116</v>
      </c>
      <c r="Y34" s="573">
        <f>IF('impto renta'!E17&gt;'impto renta'!E18,'impto renta'!E17,0)</f>
        <v>116647000</v>
      </c>
      <c r="Z34" s="573"/>
      <c r="AA34" s="573"/>
      <c r="AB34" s="573"/>
      <c r="AE34" s="99"/>
      <c r="AF34" s="99"/>
      <c r="AG34" s="99"/>
      <c r="AH34" s="99"/>
      <c r="AI34" s="99"/>
    </row>
    <row r="35" spans="2:35" ht="23" customHeight="1">
      <c r="B35" s="584"/>
      <c r="C35" s="533" t="s">
        <v>24</v>
      </c>
      <c r="D35" s="533"/>
      <c r="E35" s="533"/>
      <c r="F35" s="533"/>
      <c r="G35" s="533"/>
      <c r="H35" s="533"/>
      <c r="I35" s="191">
        <v>100</v>
      </c>
      <c r="J35" s="550">
        <f>'C.pensiones'!F18</f>
        <v>0</v>
      </c>
      <c r="K35" s="550"/>
      <c r="L35" s="550"/>
      <c r="M35" s="550"/>
      <c r="N35" s="550"/>
      <c r="O35" s="550"/>
      <c r="P35" s="548"/>
      <c r="Q35" s="456"/>
      <c r="R35" s="465" t="s">
        <v>503</v>
      </c>
      <c r="S35" s="466"/>
      <c r="T35" s="466"/>
      <c r="U35" s="466"/>
      <c r="V35" s="466"/>
      <c r="W35" s="467"/>
      <c r="X35" s="192">
        <v>117</v>
      </c>
      <c r="Y35" s="588">
        <f>IF('impto renta'!E18&gt;'impto renta'!E17,'impto renta'!E18,0)</f>
        <v>0</v>
      </c>
      <c r="Z35" s="589"/>
      <c r="AA35" s="589"/>
      <c r="AB35" s="590"/>
    </row>
    <row r="36" spans="2:35" ht="23" customHeight="1">
      <c r="B36" s="584"/>
      <c r="C36" s="546" t="s">
        <v>209</v>
      </c>
      <c r="D36" s="546"/>
      <c r="E36" s="546"/>
      <c r="F36" s="546"/>
      <c r="G36" s="546"/>
      <c r="H36" s="546"/>
      <c r="I36" s="190">
        <v>101</v>
      </c>
      <c r="J36" s="479">
        <f>J34-J35</f>
        <v>0</v>
      </c>
      <c r="K36" s="479"/>
      <c r="L36" s="479"/>
      <c r="M36" s="479"/>
      <c r="N36" s="479"/>
      <c r="O36" s="479"/>
      <c r="P36" s="548"/>
      <c r="Q36" s="456"/>
      <c r="R36" s="462" t="s">
        <v>282</v>
      </c>
      <c r="S36" s="463"/>
      <c r="T36" s="463"/>
      <c r="U36" s="463"/>
      <c r="V36" s="463"/>
      <c r="W36" s="464"/>
      <c r="X36" s="191">
        <v>118</v>
      </c>
      <c r="Y36" s="591">
        <f>'impto renta'!E51</f>
        <v>15050000</v>
      </c>
      <c r="Z36" s="592"/>
      <c r="AA36" s="592"/>
      <c r="AB36" s="593"/>
    </row>
    <row r="37" spans="2:35" ht="23" customHeight="1">
      <c r="B37" s="584"/>
      <c r="C37" s="533" t="s">
        <v>25</v>
      </c>
      <c r="D37" s="533"/>
      <c r="E37" s="533"/>
      <c r="F37" s="533"/>
      <c r="G37" s="533"/>
      <c r="H37" s="533"/>
      <c r="I37" s="191">
        <v>102</v>
      </c>
      <c r="J37" s="550">
        <f>'C.pensiones'!F26</f>
        <v>0</v>
      </c>
      <c r="K37" s="550"/>
      <c r="L37" s="550"/>
      <c r="M37" s="550"/>
      <c r="N37" s="550"/>
      <c r="O37" s="550"/>
      <c r="P37" s="548"/>
      <c r="Q37" s="456"/>
      <c r="R37" s="617" t="s">
        <v>504</v>
      </c>
      <c r="S37" s="618"/>
      <c r="T37" s="618"/>
      <c r="U37" s="618"/>
      <c r="V37" s="618"/>
      <c r="W37" s="619"/>
      <c r="X37" s="192">
        <v>119</v>
      </c>
      <c r="Y37" s="596">
        <f>'impto renta'!E26</f>
        <v>0</v>
      </c>
      <c r="Z37" s="596"/>
      <c r="AA37" s="596"/>
      <c r="AB37" s="596"/>
    </row>
    <row r="38" spans="2:35" ht="23" customHeight="1">
      <c r="B38" s="584"/>
      <c r="C38" s="546" t="s">
        <v>283</v>
      </c>
      <c r="D38" s="546"/>
      <c r="E38" s="546"/>
      <c r="F38" s="546"/>
      <c r="G38" s="546"/>
      <c r="H38" s="546"/>
      <c r="I38" s="192">
        <v>103</v>
      </c>
      <c r="J38" s="479">
        <f>J36-J37</f>
        <v>0</v>
      </c>
      <c r="K38" s="479"/>
      <c r="L38" s="479"/>
      <c r="M38" s="479"/>
      <c r="N38" s="479"/>
      <c r="O38" s="479"/>
      <c r="P38" s="548"/>
      <c r="Q38" s="456"/>
      <c r="R38" s="614" t="s">
        <v>505</v>
      </c>
      <c r="S38" s="615"/>
      <c r="T38" s="615"/>
      <c r="U38" s="615"/>
      <c r="V38" s="615"/>
      <c r="W38" s="616"/>
      <c r="X38" s="191">
        <v>120</v>
      </c>
      <c r="Y38" s="573">
        <f>'impto renta'!F47</f>
        <v>0</v>
      </c>
      <c r="Z38" s="573"/>
      <c r="AA38" s="573"/>
      <c r="AB38" s="573"/>
    </row>
    <row r="39" spans="2:35" ht="23" customHeight="1">
      <c r="B39" s="583" t="s">
        <v>281</v>
      </c>
      <c r="C39" s="533" t="s">
        <v>148</v>
      </c>
      <c r="D39" s="533"/>
      <c r="E39" s="533"/>
      <c r="F39" s="533"/>
      <c r="G39" s="533"/>
      <c r="H39" s="533"/>
      <c r="I39" s="191">
        <v>104</v>
      </c>
      <c r="J39" s="545">
        <f>'C divid.'!F3</f>
        <v>59000000</v>
      </c>
      <c r="K39" s="545"/>
      <c r="L39" s="545"/>
      <c r="M39" s="545"/>
      <c r="N39" s="545"/>
      <c r="O39" s="545"/>
      <c r="P39" s="548"/>
      <c r="Q39" s="456"/>
      <c r="R39" s="546" t="s">
        <v>280</v>
      </c>
      <c r="S39" s="546"/>
      <c r="T39" s="546"/>
      <c r="U39" s="546"/>
      <c r="V39" s="546"/>
      <c r="W39" s="546"/>
      <c r="X39" s="192">
        <v>121</v>
      </c>
      <c r="Y39" s="479">
        <f>SUM(Y34:AB38)</f>
        <v>131697000</v>
      </c>
      <c r="Z39" s="479"/>
      <c r="AA39" s="479"/>
      <c r="AB39" s="479"/>
    </row>
    <row r="40" spans="2:35" ht="33" customHeight="1">
      <c r="B40" s="584"/>
      <c r="C40" s="480" t="s">
        <v>24</v>
      </c>
      <c r="D40" s="480"/>
      <c r="E40" s="480"/>
      <c r="F40" s="480"/>
      <c r="G40" s="480"/>
      <c r="H40" s="480"/>
      <c r="I40" s="190">
        <v>105</v>
      </c>
      <c r="J40" s="479">
        <f>'C divid.'!F11</f>
        <v>34000000</v>
      </c>
      <c r="K40" s="479"/>
      <c r="L40" s="479"/>
      <c r="M40" s="479"/>
      <c r="N40" s="479"/>
      <c r="O40" s="479"/>
      <c r="P40" s="548"/>
      <c r="Q40" s="634" t="s">
        <v>106</v>
      </c>
      <c r="R40" s="533" t="s">
        <v>278</v>
      </c>
      <c r="S40" s="533"/>
      <c r="T40" s="188">
        <v>122</v>
      </c>
      <c r="U40" s="550">
        <f>'dtos tribut'!E2</f>
        <v>0</v>
      </c>
      <c r="V40" s="623"/>
      <c r="W40" s="623"/>
      <c r="X40" s="533" t="s">
        <v>18</v>
      </c>
      <c r="Y40" s="533"/>
      <c r="Z40" s="533"/>
      <c r="AA40" s="191">
        <v>123</v>
      </c>
      <c r="AB40" s="232">
        <f>'dtos tribut'!E6</f>
        <v>10000000</v>
      </c>
    </row>
    <row r="41" spans="2:35" ht="23" customHeight="1">
      <c r="B41" s="584"/>
      <c r="C41" s="481" t="s">
        <v>279</v>
      </c>
      <c r="D41" s="481"/>
      <c r="E41" s="481"/>
      <c r="F41" s="481"/>
      <c r="G41" s="481"/>
      <c r="H41" s="481"/>
      <c r="I41" s="186">
        <v>106</v>
      </c>
      <c r="J41" s="545">
        <f>J39-J40</f>
        <v>25000000</v>
      </c>
      <c r="K41" s="545"/>
      <c r="L41" s="545"/>
      <c r="M41" s="545"/>
      <c r="N41" s="545"/>
      <c r="O41" s="545"/>
      <c r="P41" s="548"/>
      <c r="Q41" s="635"/>
      <c r="R41" s="480" t="s">
        <v>506</v>
      </c>
      <c r="S41" s="480"/>
      <c r="T41" s="193">
        <v>124</v>
      </c>
      <c r="U41" s="454">
        <f>IF('dtos tribut'!E15&gt;0,'dtos tribut'!E15,0)</f>
        <v>5063000</v>
      </c>
      <c r="V41" s="455"/>
      <c r="W41" s="455"/>
      <c r="X41" s="546" t="s">
        <v>276</v>
      </c>
      <c r="Y41" s="546"/>
      <c r="Z41" s="546"/>
      <c r="AA41" s="192">
        <v>125</v>
      </c>
      <c r="AB41" s="233">
        <f>U40+U41+AB40</f>
        <v>15063000</v>
      </c>
    </row>
    <row r="42" spans="2:35" ht="23" customHeight="1">
      <c r="B42" s="584"/>
      <c r="C42" s="480" t="s">
        <v>277</v>
      </c>
      <c r="D42" s="480"/>
      <c r="E42" s="480"/>
      <c r="F42" s="480"/>
      <c r="G42" s="480"/>
      <c r="H42" s="480"/>
      <c r="I42" s="190">
        <v>107</v>
      </c>
      <c r="J42" s="479">
        <f>'C divid.'!F17</f>
        <v>50000000</v>
      </c>
      <c r="K42" s="479"/>
      <c r="L42" s="479"/>
      <c r="M42" s="479"/>
      <c r="N42" s="479"/>
      <c r="O42" s="479"/>
      <c r="P42" s="548"/>
      <c r="Q42" s="468" t="s">
        <v>105</v>
      </c>
      <c r="R42" s="469"/>
      <c r="S42" s="469"/>
      <c r="T42" s="469"/>
      <c r="U42" s="469"/>
      <c r="V42" s="469"/>
      <c r="W42" s="470"/>
      <c r="X42" s="186">
        <v>126</v>
      </c>
      <c r="Y42" s="585">
        <f>Y39-AB41</f>
        <v>116634000</v>
      </c>
      <c r="Z42" s="586"/>
      <c r="AA42" s="586"/>
      <c r="AB42" s="587"/>
    </row>
    <row r="43" spans="2:35" ht="23" customHeight="1">
      <c r="B43" s="584"/>
      <c r="C43" s="533" t="s">
        <v>275</v>
      </c>
      <c r="D43" s="533"/>
      <c r="E43" s="533"/>
      <c r="F43" s="533"/>
      <c r="G43" s="533"/>
      <c r="H43" s="533"/>
      <c r="I43" s="191">
        <v>108</v>
      </c>
      <c r="J43" s="545">
        <f>'C divid.'!F25</f>
        <v>43000000</v>
      </c>
      <c r="K43" s="545"/>
      <c r="L43" s="545"/>
      <c r="M43" s="545"/>
      <c r="N43" s="545"/>
      <c r="O43" s="545"/>
      <c r="P43" s="548"/>
      <c r="Q43" s="465" t="s">
        <v>19</v>
      </c>
      <c r="R43" s="466"/>
      <c r="S43" s="466"/>
      <c r="T43" s="466"/>
      <c r="U43" s="466"/>
      <c r="V43" s="466"/>
      <c r="W43" s="467"/>
      <c r="X43" s="190">
        <v>127</v>
      </c>
      <c r="Y43" s="454">
        <f>+G.OCAS!D101</f>
        <v>0</v>
      </c>
      <c r="Z43" s="454"/>
      <c r="AA43" s="454"/>
      <c r="AB43" s="454"/>
    </row>
    <row r="44" spans="2:35" ht="23" customHeight="1">
      <c r="B44" s="584"/>
      <c r="C44" s="480" t="s">
        <v>500</v>
      </c>
      <c r="D44" s="480"/>
      <c r="E44" s="480"/>
      <c r="F44" s="480"/>
      <c r="G44" s="480"/>
      <c r="H44" s="480"/>
      <c r="I44" s="190">
        <v>109</v>
      </c>
      <c r="J44" s="479">
        <f>'C divid.'!F33</f>
        <v>0</v>
      </c>
      <c r="K44" s="479"/>
      <c r="L44" s="479"/>
      <c r="M44" s="479"/>
      <c r="N44" s="479"/>
      <c r="O44" s="479"/>
      <c r="P44" s="548"/>
      <c r="Q44" s="462" t="s">
        <v>273</v>
      </c>
      <c r="R44" s="463"/>
      <c r="S44" s="463"/>
      <c r="T44" s="463"/>
      <c r="U44" s="463"/>
      <c r="V44" s="463"/>
      <c r="W44" s="464"/>
      <c r="X44" s="191">
        <v>128</v>
      </c>
      <c r="Y44" s="550">
        <f>'dtos tribut'!E20</f>
        <v>0</v>
      </c>
      <c r="Z44" s="550"/>
      <c r="AA44" s="550"/>
      <c r="AB44" s="550"/>
    </row>
    <row r="45" spans="2:35" ht="23" customHeight="1">
      <c r="B45" s="584"/>
      <c r="C45" s="533" t="s">
        <v>274</v>
      </c>
      <c r="D45" s="533"/>
      <c r="E45" s="533"/>
      <c r="F45" s="533"/>
      <c r="G45" s="533"/>
      <c r="H45" s="533"/>
      <c r="I45" s="191">
        <v>110</v>
      </c>
      <c r="J45" s="545">
        <f>'C divid.'!F41</f>
        <v>0</v>
      </c>
      <c r="K45" s="545"/>
      <c r="L45" s="545"/>
      <c r="M45" s="545"/>
      <c r="N45" s="545"/>
      <c r="O45" s="545"/>
      <c r="P45" s="548"/>
      <c r="Q45" s="471" t="s">
        <v>270</v>
      </c>
      <c r="R45" s="472"/>
      <c r="S45" s="472"/>
      <c r="T45" s="472"/>
      <c r="U45" s="472"/>
      <c r="V45" s="472"/>
      <c r="W45" s="473"/>
      <c r="X45" s="192">
        <v>129</v>
      </c>
      <c r="Y45" s="479">
        <f>Y42+Y43-Y44</f>
        <v>116634000</v>
      </c>
      <c r="Z45" s="479"/>
      <c r="AA45" s="479"/>
      <c r="AB45" s="479"/>
    </row>
    <row r="46" spans="2:35" ht="27" customHeight="1">
      <c r="B46" s="527" t="s">
        <v>501</v>
      </c>
      <c r="C46" s="528"/>
      <c r="D46" s="528"/>
      <c r="E46" s="528"/>
      <c r="F46" s="528"/>
      <c r="G46" s="528"/>
      <c r="H46" s="529"/>
      <c r="I46" s="334">
        <v>111</v>
      </c>
      <c r="J46" s="530">
        <f>S33+J38+J42+J43-Y36</f>
        <v>432584000</v>
      </c>
      <c r="K46" s="531"/>
      <c r="L46" s="531"/>
      <c r="M46" s="531"/>
      <c r="N46" s="531"/>
      <c r="O46" s="532"/>
      <c r="P46" s="548"/>
      <c r="Q46" s="462" t="s">
        <v>46</v>
      </c>
      <c r="R46" s="463"/>
      <c r="S46" s="463"/>
      <c r="T46" s="463"/>
      <c r="U46" s="463"/>
      <c r="V46" s="463"/>
      <c r="W46" s="464"/>
      <c r="X46" s="191">
        <v>130</v>
      </c>
      <c r="Y46" s="550">
        <f>anticipo!E4</f>
        <v>8700000</v>
      </c>
      <c r="Z46" s="550"/>
      <c r="AA46" s="550"/>
      <c r="AB46" s="550"/>
      <c r="AC46" s="99"/>
    </row>
    <row r="47" spans="2:35" ht="23" customHeight="1">
      <c r="B47" s="547" t="s">
        <v>272</v>
      </c>
      <c r="C47" s="480" t="s">
        <v>271</v>
      </c>
      <c r="D47" s="480"/>
      <c r="E47" s="480"/>
      <c r="F47" s="480"/>
      <c r="G47" s="480"/>
      <c r="H47" s="480"/>
      <c r="I47" s="192">
        <v>112</v>
      </c>
      <c r="J47" s="479">
        <f>G.OCAS!D94+G.OCAS!D98</f>
        <v>450000000</v>
      </c>
      <c r="K47" s="479"/>
      <c r="L47" s="479"/>
      <c r="M47" s="479"/>
      <c r="N47" s="479"/>
      <c r="O47" s="479"/>
      <c r="P47" s="548"/>
      <c r="Q47" s="465" t="s">
        <v>269</v>
      </c>
      <c r="R47" s="466"/>
      <c r="S47" s="466"/>
      <c r="T47" s="466"/>
      <c r="U47" s="466"/>
      <c r="V47" s="466"/>
      <c r="W47" s="467"/>
      <c r="X47" s="190">
        <v>131</v>
      </c>
      <c r="Y47" s="454">
        <f>anticipo!E3</f>
        <v>0</v>
      </c>
      <c r="Z47" s="454"/>
      <c r="AA47" s="454"/>
      <c r="AB47" s="454"/>
      <c r="AC47" s="63"/>
    </row>
    <row r="48" spans="2:35" ht="23" customHeight="1">
      <c r="B48" s="548"/>
      <c r="C48" s="533" t="s">
        <v>11</v>
      </c>
      <c r="D48" s="533"/>
      <c r="E48" s="533"/>
      <c r="F48" s="533"/>
      <c r="G48" s="533"/>
      <c r="H48" s="533"/>
      <c r="I48" s="191">
        <v>113</v>
      </c>
      <c r="J48" s="545">
        <f>G.OCAS!D95</f>
        <v>450000000</v>
      </c>
      <c r="K48" s="545"/>
      <c r="L48" s="545"/>
      <c r="M48" s="545"/>
      <c r="N48" s="545"/>
      <c r="O48" s="545"/>
      <c r="P48" s="548"/>
      <c r="Q48" s="462" t="s">
        <v>47</v>
      </c>
      <c r="R48" s="463"/>
      <c r="S48" s="463"/>
      <c r="T48" s="463"/>
      <c r="U48" s="463"/>
      <c r="V48" s="463"/>
      <c r="W48" s="464"/>
      <c r="X48" s="191">
        <v>132</v>
      </c>
      <c r="Y48" s="550">
        <f>retefuente!E3</f>
        <v>20820000</v>
      </c>
      <c r="Z48" s="550"/>
      <c r="AA48" s="550"/>
      <c r="AB48" s="550"/>
    </row>
    <row r="49" spans="2:28" ht="23" customHeight="1">
      <c r="B49" s="548"/>
      <c r="C49" s="480" t="s">
        <v>12</v>
      </c>
      <c r="D49" s="480"/>
      <c r="E49" s="480"/>
      <c r="F49" s="480"/>
      <c r="G49" s="480"/>
      <c r="H49" s="480"/>
      <c r="I49" s="190">
        <v>114</v>
      </c>
      <c r="J49" s="630">
        <f>G.OCAS!D96</f>
        <v>0</v>
      </c>
      <c r="K49" s="630"/>
      <c r="L49" s="630"/>
      <c r="M49" s="630"/>
      <c r="N49" s="630"/>
      <c r="O49" s="630"/>
      <c r="P49" s="549"/>
      <c r="Q49" s="465" t="s">
        <v>124</v>
      </c>
      <c r="R49" s="466"/>
      <c r="S49" s="466"/>
      <c r="T49" s="466"/>
      <c r="U49" s="466"/>
      <c r="V49" s="466"/>
      <c r="W49" s="467"/>
      <c r="X49" s="190">
        <v>133</v>
      </c>
      <c r="Y49" s="596">
        <f>anticipo!E40</f>
        <v>29668000</v>
      </c>
      <c r="Z49" s="596"/>
      <c r="AA49" s="596"/>
      <c r="AB49" s="596"/>
    </row>
    <row r="50" spans="2:28" ht="23" customHeight="1">
      <c r="B50" s="549"/>
      <c r="C50" s="546" t="s">
        <v>544</v>
      </c>
      <c r="D50" s="546"/>
      <c r="E50" s="546"/>
      <c r="F50" s="546"/>
      <c r="G50" s="546"/>
      <c r="H50" s="546"/>
      <c r="I50" s="190">
        <v>115</v>
      </c>
      <c r="J50" s="479">
        <f>J47-J48-J49</f>
        <v>0</v>
      </c>
      <c r="K50" s="479"/>
      <c r="L50" s="479"/>
      <c r="M50" s="479"/>
      <c r="N50" s="479"/>
      <c r="O50" s="479"/>
      <c r="P50" s="620"/>
      <c r="Q50" s="621"/>
      <c r="R50" s="621"/>
      <c r="S50" s="621"/>
      <c r="T50" s="621"/>
      <c r="U50" s="621"/>
      <c r="V50" s="621"/>
      <c r="W50" s="621"/>
      <c r="X50" s="621"/>
      <c r="Y50" s="621"/>
      <c r="Z50" s="621"/>
      <c r="AA50" s="621"/>
      <c r="AB50" s="622"/>
    </row>
    <row r="51" spans="2:28" ht="23" customHeight="1">
      <c r="B51" s="597" t="s">
        <v>268</v>
      </c>
      <c r="C51" s="598"/>
      <c r="D51" s="599"/>
      <c r="E51" s="189">
        <v>134</v>
      </c>
      <c r="F51" s="550">
        <f>IF(Y45+Y49-Y46-Y47-Y48&gt;0,Y45+Y49-Y46-Y47-Y48,0)</f>
        <v>116782000</v>
      </c>
      <c r="G51" s="550"/>
      <c r="H51" s="550"/>
      <c r="I51" s="624" t="s">
        <v>14</v>
      </c>
      <c r="J51" s="625"/>
      <c r="K51" s="626"/>
      <c r="L51" s="188">
        <v>135</v>
      </c>
      <c r="M51" s="551">
        <v>0</v>
      </c>
      <c r="N51" s="552"/>
      <c r="O51" s="553"/>
      <c r="P51" s="600" t="s">
        <v>507</v>
      </c>
      <c r="Q51" s="601"/>
      <c r="R51" s="601"/>
      <c r="S51" s="602"/>
      <c r="T51" s="187">
        <v>136</v>
      </c>
      <c r="U51" s="545">
        <f>F51+M51</f>
        <v>116782000</v>
      </c>
      <c r="V51" s="545"/>
      <c r="W51" s="545"/>
      <c r="X51" s="481" t="s">
        <v>267</v>
      </c>
      <c r="Y51" s="481"/>
      <c r="Z51" s="481"/>
      <c r="AA51" s="186">
        <v>137</v>
      </c>
      <c r="AB51" s="274">
        <f>-IF(Y45+Y49+M51-Y46-Y47-Y48&lt;0,Y45+Y49+M51-Y46-Y47-Y48,0)</f>
        <v>0</v>
      </c>
    </row>
    <row r="52" spans="2:28" ht="34.5" customHeight="1">
      <c r="B52" s="603" t="s">
        <v>508</v>
      </c>
      <c r="C52" s="604"/>
      <c r="D52" s="605"/>
      <c r="E52" s="335">
        <v>138</v>
      </c>
      <c r="F52" s="606">
        <f>'Dependientes '!C3</f>
        <v>2</v>
      </c>
      <c r="G52" s="606"/>
      <c r="H52" s="606"/>
      <c r="I52" s="607" t="s">
        <v>509</v>
      </c>
      <c r="J52" s="608"/>
      <c r="K52" s="609"/>
      <c r="L52" s="336">
        <v>139</v>
      </c>
      <c r="M52" s="610">
        <f>'Dependientes '!C11</f>
        <v>6777000</v>
      </c>
      <c r="N52" s="610"/>
      <c r="O52" s="610"/>
      <c r="P52" s="611" t="s">
        <v>510</v>
      </c>
      <c r="Q52" s="567"/>
      <c r="R52" s="567"/>
      <c r="S52" s="612"/>
      <c r="T52" s="337">
        <v>140</v>
      </c>
      <c r="U52" s="453"/>
      <c r="V52" s="453"/>
      <c r="W52" s="453"/>
      <c r="X52" s="613" t="s">
        <v>511</v>
      </c>
      <c r="Y52" s="613"/>
      <c r="Z52" s="613"/>
      <c r="AA52" s="338">
        <v>141</v>
      </c>
      <c r="AB52" s="339"/>
    </row>
    <row r="53" spans="2:28">
      <c r="F53" s="454"/>
      <c r="G53" s="455"/>
      <c r="H53" s="455"/>
      <c r="V53" s="319"/>
    </row>
    <row r="57" spans="2:28">
      <c r="O57" s="427"/>
    </row>
    <row r="58" spans="2:28">
      <c r="O58" s="427"/>
    </row>
    <row r="59" spans="2:28">
      <c r="O59" s="427"/>
    </row>
    <row r="60" spans="2:28">
      <c r="O60" s="427"/>
    </row>
  </sheetData>
  <mergeCells count="231">
    <mergeCell ref="R38:W38"/>
    <mergeCell ref="C45:H45"/>
    <mergeCell ref="Y48:AB48"/>
    <mergeCell ref="Y49:AB49"/>
    <mergeCell ref="F51:H51"/>
    <mergeCell ref="AH14:AI14"/>
    <mergeCell ref="AH15:AI15"/>
    <mergeCell ref="AH16:AI16"/>
    <mergeCell ref="AH17:AI17"/>
    <mergeCell ref="J49:O49"/>
    <mergeCell ref="AH18:AI18"/>
    <mergeCell ref="AH19:AI19"/>
    <mergeCell ref="C48:H48"/>
    <mergeCell ref="F33:H33"/>
    <mergeCell ref="C33:D33"/>
    <mergeCell ref="I33:J33"/>
    <mergeCell ref="I32:J32"/>
    <mergeCell ref="L32:O32"/>
    <mergeCell ref="P32:Q32"/>
    <mergeCell ref="C32:D32"/>
    <mergeCell ref="Q47:W47"/>
    <mergeCell ref="Q42:W42"/>
    <mergeCell ref="Q40:Q41"/>
    <mergeCell ref="F32:H32"/>
    <mergeCell ref="Z10:AB11"/>
    <mergeCell ref="B51:D51"/>
    <mergeCell ref="P51:S51"/>
    <mergeCell ref="B52:D52"/>
    <mergeCell ref="F52:H52"/>
    <mergeCell ref="I52:K52"/>
    <mergeCell ref="M52:O52"/>
    <mergeCell ref="P52:S52"/>
    <mergeCell ref="X52:Z52"/>
    <mergeCell ref="C35:H35"/>
    <mergeCell ref="C36:H36"/>
    <mergeCell ref="C37:H37"/>
    <mergeCell ref="J36:O36"/>
    <mergeCell ref="X51:Z51"/>
    <mergeCell ref="U51:W51"/>
    <mergeCell ref="Q34:Q39"/>
    <mergeCell ref="R34:W34"/>
    <mergeCell ref="R35:W35"/>
    <mergeCell ref="R36:W36"/>
    <mergeCell ref="R37:W37"/>
    <mergeCell ref="P50:AB50"/>
    <mergeCell ref="R40:S40"/>
    <mergeCell ref="U40:W40"/>
    <mergeCell ref="I51:K51"/>
    <mergeCell ref="B2:F5"/>
    <mergeCell ref="B14:B33"/>
    <mergeCell ref="B34:B38"/>
    <mergeCell ref="R39:W39"/>
    <mergeCell ref="J39:O39"/>
    <mergeCell ref="J38:O38"/>
    <mergeCell ref="C39:H39"/>
    <mergeCell ref="B39:B45"/>
    <mergeCell ref="Y39:AB39"/>
    <mergeCell ref="X40:Z40"/>
    <mergeCell ref="X41:Z41"/>
    <mergeCell ref="Y42:AB42"/>
    <mergeCell ref="Y43:AB43"/>
    <mergeCell ref="Y44:AB44"/>
    <mergeCell ref="Y35:AB35"/>
    <mergeCell ref="Y36:AB36"/>
    <mergeCell ref="B6:O8"/>
    <mergeCell ref="P6:AB8"/>
    <mergeCell ref="L33:O33"/>
    <mergeCell ref="Y37:AB37"/>
    <mergeCell ref="Y38:AB38"/>
    <mergeCell ref="Z29:AB29"/>
    <mergeCell ref="Z30:AB30"/>
    <mergeCell ref="Z31:AB31"/>
    <mergeCell ref="G2:U5"/>
    <mergeCell ref="V2:Z5"/>
    <mergeCell ref="AA2:AB5"/>
    <mergeCell ref="AH7:AI7"/>
    <mergeCell ref="Y47:AB47"/>
    <mergeCell ref="Z25:AB25"/>
    <mergeCell ref="Z16:AB16"/>
    <mergeCell ref="AA32:AB32"/>
    <mergeCell ref="AC19:AG19"/>
    <mergeCell ref="V9:Y9"/>
    <mergeCell ref="S33:V33"/>
    <mergeCell ref="R41:S41"/>
    <mergeCell ref="P12:T12"/>
    <mergeCell ref="U12:V12"/>
    <mergeCell ref="W12:AA12"/>
    <mergeCell ref="AA33:AB33"/>
    <mergeCell ref="AH20:AI20"/>
    <mergeCell ref="P33:Q33"/>
    <mergeCell ref="J37:O37"/>
    <mergeCell ref="C34:H34"/>
    <mergeCell ref="J34:O34"/>
    <mergeCell ref="W32:Y32"/>
    <mergeCell ref="W33:Y33"/>
    <mergeCell ref="Y34:AB34"/>
    <mergeCell ref="B47:B50"/>
    <mergeCell ref="J48:O48"/>
    <mergeCell ref="J35:O35"/>
    <mergeCell ref="C44:H44"/>
    <mergeCell ref="M51:O51"/>
    <mergeCell ref="J47:O47"/>
    <mergeCell ref="C38:H38"/>
    <mergeCell ref="Y45:AB45"/>
    <mergeCell ref="Y46:AB46"/>
    <mergeCell ref="Q49:W49"/>
    <mergeCell ref="C50:H50"/>
    <mergeCell ref="J40:O40"/>
    <mergeCell ref="J41:O41"/>
    <mergeCell ref="J42:O42"/>
    <mergeCell ref="J43:O43"/>
    <mergeCell ref="J44:O44"/>
    <mergeCell ref="J45:O45"/>
    <mergeCell ref="C49:H49"/>
    <mergeCell ref="Q43:W43"/>
    <mergeCell ref="Q44:W44"/>
    <mergeCell ref="Q45:W45"/>
    <mergeCell ref="Q46:W46"/>
    <mergeCell ref="P34:P49"/>
    <mergeCell ref="Q48:W48"/>
    <mergeCell ref="U41:W41"/>
    <mergeCell ref="B46:H46"/>
    <mergeCell ref="J46:O46"/>
    <mergeCell ref="C43:H43"/>
    <mergeCell ref="C47:H47"/>
    <mergeCell ref="Z26:AB26"/>
    <mergeCell ref="H23:K23"/>
    <mergeCell ref="M23:Q23"/>
    <mergeCell ref="S23:X23"/>
    <mergeCell ref="Z23:AB23"/>
    <mergeCell ref="S24:X24"/>
    <mergeCell ref="Z24:AB24"/>
    <mergeCell ref="H24:K24"/>
    <mergeCell ref="M24:Q24"/>
    <mergeCell ref="S27:X27"/>
    <mergeCell ref="Z27:AB27"/>
    <mergeCell ref="C29:F29"/>
    <mergeCell ref="C30:F30"/>
    <mergeCell ref="C31:F31"/>
    <mergeCell ref="G28:K30"/>
    <mergeCell ref="H31:K31"/>
    <mergeCell ref="C28:F28"/>
    <mergeCell ref="C27:F27"/>
    <mergeCell ref="H27:K27"/>
    <mergeCell ref="M27:Q27"/>
    <mergeCell ref="M28:Q28"/>
    <mergeCell ref="M29:Q29"/>
    <mergeCell ref="S28:X28"/>
    <mergeCell ref="Z28:AB28"/>
    <mergeCell ref="M30:Q30"/>
    <mergeCell ref="M31:Q31"/>
    <mergeCell ref="K10:K11"/>
    <mergeCell ref="Z21:AB21"/>
    <mergeCell ref="H22:K22"/>
    <mergeCell ref="M22:Q22"/>
    <mergeCell ref="S22:X22"/>
    <mergeCell ref="Z22:AB22"/>
    <mergeCell ref="Z18:AB18"/>
    <mergeCell ref="Z19:AB19"/>
    <mergeCell ref="Z17:AB17"/>
    <mergeCell ref="Z20:AB20"/>
    <mergeCell ref="L14:Q14"/>
    <mergeCell ref="R14:X14"/>
    <mergeCell ref="Y14:AB14"/>
    <mergeCell ref="Z15:AB15"/>
    <mergeCell ref="V10:Y11"/>
    <mergeCell ref="G12:H12"/>
    <mergeCell ref="G20:Q20"/>
    <mergeCell ref="S20:X20"/>
    <mergeCell ref="C16:F16"/>
    <mergeCell ref="C15:F15"/>
    <mergeCell ref="C17:F17"/>
    <mergeCell ref="S18:X18"/>
    <mergeCell ref="C19:F19"/>
    <mergeCell ref="M19:Q19"/>
    <mergeCell ref="S19:X19"/>
    <mergeCell ref="C18:F18"/>
    <mergeCell ref="G18:K18"/>
    <mergeCell ref="M18:Q18"/>
    <mergeCell ref="G16:X16"/>
    <mergeCell ref="M15:Q15"/>
    <mergeCell ref="S15:X15"/>
    <mergeCell ref="H19:K19"/>
    <mergeCell ref="C14:F14"/>
    <mergeCell ref="Z13:AB13"/>
    <mergeCell ref="S29:X29"/>
    <mergeCell ref="S30:X30"/>
    <mergeCell ref="S31:X31"/>
    <mergeCell ref="B9:B11"/>
    <mergeCell ref="C10:J11"/>
    <mergeCell ref="C9:J9"/>
    <mergeCell ref="L9:P9"/>
    <mergeCell ref="L10:P11"/>
    <mergeCell ref="B13:E13"/>
    <mergeCell ref="V13:X13"/>
    <mergeCell ref="S13:U13"/>
    <mergeCell ref="H17:K17"/>
    <mergeCell ref="F13:J13"/>
    <mergeCell ref="P13:Q13"/>
    <mergeCell ref="L13:O13"/>
    <mergeCell ref="H15:K15"/>
    <mergeCell ref="G14:K14"/>
    <mergeCell ref="M17:Q17"/>
    <mergeCell ref="S17:X17"/>
    <mergeCell ref="Q9:U9"/>
    <mergeCell ref="Q10:U11"/>
    <mergeCell ref="C20:F20"/>
    <mergeCell ref="U52:W52"/>
    <mergeCell ref="F53:H53"/>
    <mergeCell ref="C21:C23"/>
    <mergeCell ref="H21:K21"/>
    <mergeCell ref="M21:Q21"/>
    <mergeCell ref="S21:X21"/>
    <mergeCell ref="C24:C26"/>
    <mergeCell ref="D21:F21"/>
    <mergeCell ref="D22:F22"/>
    <mergeCell ref="D23:F23"/>
    <mergeCell ref="D24:F24"/>
    <mergeCell ref="D25:F25"/>
    <mergeCell ref="D26:F26"/>
    <mergeCell ref="H25:K25"/>
    <mergeCell ref="M25:Q25"/>
    <mergeCell ref="S25:X25"/>
    <mergeCell ref="H26:K26"/>
    <mergeCell ref="M26:Q26"/>
    <mergeCell ref="S26:X26"/>
    <mergeCell ref="S32:V32"/>
    <mergeCell ref="J50:O50"/>
    <mergeCell ref="C40:H40"/>
    <mergeCell ref="C41:H41"/>
    <mergeCell ref="C42:H42"/>
  </mergeCell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70C0"/>
  </sheetPr>
  <dimension ref="A1:XFA35"/>
  <sheetViews>
    <sheetView showGridLines="0" tabSelected="1" zoomScale="130" zoomScaleNormal="130" workbookViewId="0">
      <pane ySplit="2" topLeftCell="A3" activePane="bottomLeft" state="frozen"/>
      <selection pane="bottomLeft" activeCell="C21" sqref="C20:C21"/>
    </sheetView>
  </sheetViews>
  <sheetFormatPr baseColWidth="10" defaultColWidth="0" defaultRowHeight="16" zeroHeight="1"/>
  <cols>
    <col min="1" max="1" width="5.33203125" customWidth="1"/>
    <col min="2" max="2" width="115.5" customWidth="1"/>
    <col min="3" max="3" width="25.83203125" style="9" customWidth="1"/>
    <col min="4" max="4" width="22" customWidth="1"/>
    <col min="5" max="5" width="52.5" hidden="1" customWidth="1"/>
    <col min="6" max="6" width="16.1640625" hidden="1" customWidth="1"/>
    <col min="7" max="7" width="16.5" hidden="1" customWidth="1"/>
    <col min="8" max="18" width="15.5" hidden="1" customWidth="1"/>
    <col min="19" max="19" width="19.1640625" hidden="1" customWidth="1"/>
    <col min="20" max="20" width="19.5" hidden="1" customWidth="1"/>
    <col min="21" max="21" width="28" hidden="1" customWidth="1"/>
    <col min="22" max="16381" width="11.5" hidden="1"/>
    <col min="16382" max="16384" width="6" customWidth="1"/>
  </cols>
  <sheetData>
    <row r="1" spans="1:5" s="10" customFormat="1" ht="21" customHeight="1">
      <c r="B1" s="636" t="s">
        <v>73</v>
      </c>
      <c r="C1" s="637"/>
      <c r="D1" s="11"/>
      <c r="E1" s="11"/>
    </row>
    <row r="2" spans="1:5" s="10" customFormat="1" ht="18.75" customHeight="1">
      <c r="B2" s="638" t="s">
        <v>74</v>
      </c>
      <c r="C2" s="639"/>
      <c r="D2" s="11"/>
      <c r="E2" s="11"/>
    </row>
    <row r="3" spans="1:5" s="10" customFormat="1" ht="17">
      <c r="B3" s="35" t="s">
        <v>42</v>
      </c>
      <c r="C3" s="35" t="s">
        <v>460</v>
      </c>
      <c r="D3" s="12"/>
      <c r="E3" s="12"/>
    </row>
    <row r="4" spans="1:5" s="10" customFormat="1" ht="17">
      <c r="B4" s="1" t="s">
        <v>64</v>
      </c>
      <c r="C4" s="8">
        <f>'FORMULARIO 210'!Z13</f>
        <v>4130790000</v>
      </c>
      <c r="D4" s="17"/>
      <c r="E4" s="12"/>
    </row>
    <row r="5" spans="1:5" s="10" customFormat="1" ht="17">
      <c r="A5" s="19" t="s">
        <v>57</v>
      </c>
      <c r="B5" s="7" t="s">
        <v>51</v>
      </c>
      <c r="C5" s="322">
        <v>0</v>
      </c>
      <c r="D5" s="17"/>
      <c r="E5" s="12"/>
    </row>
    <row r="6" spans="1:5" s="10" customFormat="1" ht="17">
      <c r="A6" s="19" t="s">
        <v>58</v>
      </c>
      <c r="B6" s="7" t="s">
        <v>21</v>
      </c>
      <c r="C6" s="13">
        <f>'Pat bruto'!H119</f>
        <v>448450000</v>
      </c>
      <c r="D6" s="12"/>
      <c r="E6" s="12"/>
    </row>
    <row r="7" spans="1:5" s="10" customFormat="1" ht="17">
      <c r="A7" s="15" t="s">
        <v>58</v>
      </c>
      <c r="B7" s="1" t="s">
        <v>52</v>
      </c>
      <c r="C7" s="8">
        <f>'renta presunt'!E6</f>
        <v>3070000000</v>
      </c>
      <c r="D7" s="17"/>
      <c r="E7" s="12"/>
    </row>
    <row r="8" spans="1:5" s="10" customFormat="1" ht="17">
      <c r="A8" s="15" t="s">
        <v>59</v>
      </c>
      <c r="B8" s="14" t="s">
        <v>60</v>
      </c>
      <c r="C8" s="8">
        <f>IF(C4+C5-C6-C7&gt;0,C4+C5-C6-C7,0)</f>
        <v>612340000</v>
      </c>
      <c r="D8" s="18"/>
      <c r="E8" s="12"/>
    </row>
    <row r="9" spans="1:5" s="10" customFormat="1">
      <c r="B9" s="643" t="s">
        <v>61</v>
      </c>
      <c r="C9" s="643"/>
      <c r="D9" s="17"/>
      <c r="E9" s="12"/>
    </row>
    <row r="10" spans="1:5" s="10" customFormat="1">
      <c r="B10" s="644" t="s">
        <v>62</v>
      </c>
      <c r="C10" s="644"/>
      <c r="D10" s="182"/>
      <c r="E10" s="12"/>
    </row>
    <row r="11" spans="1:5" s="10" customFormat="1" ht="17">
      <c r="B11" s="1" t="s">
        <v>114</v>
      </c>
      <c r="C11" s="8">
        <f>'FORMULARIO 210'!S32+'FORMULARIO 210'!J38+'FORMULARIO 210'!J41+'FORMULARIO 210'!J42+'FORMULARIO 210'!J43+'FORMULARIO 210'!J44</f>
        <v>472634000</v>
      </c>
      <c r="D11" s="12"/>
      <c r="E11" s="12"/>
    </row>
    <row r="12" spans="1:5" s="10" customFormat="1" ht="17">
      <c r="A12" s="19" t="s">
        <v>57</v>
      </c>
      <c r="B12" s="7" t="s">
        <v>461</v>
      </c>
      <c r="C12" s="13">
        <f>'FORMULARIO 210'!H23+'FORMULARIO 210'!M23+'FORMULARIO 210'!S23+'FORMULARIO 210'!Z23+'FORMULARIO 210'!J37+'FORMULARIO 210'!J45+'FORMULARIO 210'!J50</f>
        <v>81675000</v>
      </c>
      <c r="D12" s="17"/>
      <c r="E12" s="12"/>
    </row>
    <row r="13" spans="1:5" s="10" customFormat="1" ht="17">
      <c r="A13" s="19" t="s">
        <v>57</v>
      </c>
      <c r="B13" s="7" t="s">
        <v>462</v>
      </c>
      <c r="C13" s="13">
        <f>'FORMULARIO 210'!H17+'FORMULARIO 210'!M17+'FORMULARIO 210'!S17+'FORMULARIO 210'!Z17+'FORMULARIO 210'!J35+'FORMULARIO 210'!J40</f>
        <v>318812000</v>
      </c>
      <c r="D13" s="17"/>
      <c r="E13" s="12"/>
    </row>
    <row r="14" spans="1:5" s="10" customFormat="1" ht="17">
      <c r="A14" s="19" t="s">
        <v>57</v>
      </c>
      <c r="B14" s="7" t="s">
        <v>463</v>
      </c>
      <c r="C14" s="13">
        <v>0</v>
      </c>
      <c r="D14" s="12"/>
      <c r="E14" s="12"/>
    </row>
    <row r="15" spans="1:5" s="10" customFormat="1" ht="17">
      <c r="A15" s="19" t="s">
        <v>58</v>
      </c>
      <c r="B15" s="7" t="s">
        <v>53</v>
      </c>
      <c r="C15" s="323">
        <v>45000000</v>
      </c>
      <c r="D15" s="12"/>
      <c r="E15" s="12"/>
    </row>
    <row r="16" spans="1:5" s="10" customFormat="1" ht="17">
      <c r="A16" s="19" t="s">
        <v>58</v>
      </c>
      <c r="B16" s="7" t="s">
        <v>54</v>
      </c>
      <c r="C16" s="13">
        <f>'FORMULARIO 210'!Y48</f>
        <v>20820000</v>
      </c>
      <c r="D16" s="12"/>
      <c r="E16" s="12"/>
    </row>
    <row r="17" spans="1:5" s="10" customFormat="1" ht="17">
      <c r="A17" s="15" t="s">
        <v>59</v>
      </c>
      <c r="B17" s="14" t="s">
        <v>63</v>
      </c>
      <c r="C17" s="8">
        <f>((C11+'rta x comp patr'!C12+C13+C14)-(C15+C16))</f>
        <v>807301000</v>
      </c>
      <c r="D17" s="17"/>
      <c r="E17" s="12"/>
    </row>
    <row r="18" spans="1:5" s="10" customFormat="1">
      <c r="B18" s="641" t="s">
        <v>464</v>
      </c>
      <c r="C18" s="641"/>
    </row>
    <row r="19" spans="1:5" s="10" customFormat="1">
      <c r="B19" s="20" t="s">
        <v>55</v>
      </c>
      <c r="C19" s="21">
        <f>+C8</f>
        <v>612340000</v>
      </c>
    </row>
    <row r="20" spans="1:5" s="10" customFormat="1">
      <c r="B20" s="20" t="s">
        <v>56</v>
      </c>
      <c r="C20" s="21">
        <f>IF(OR(C11&lt;0,ISTEXT(C11),'rta x comp patr'!C12&lt;0,ISTEXT('rta x comp patr'!C12),C13&lt;0,ISTEXT(C13),C14&lt;0,ISTEXT(C14),C15&lt;0,ISTEXT(C15),C16&lt;0,ISTEXT(C16)), "Por favor ingrese valores positivos en la celdas B18 a B23.",C11+'rta x comp patr'!C12+C13+C14-C15-C16)</f>
        <v>807301000</v>
      </c>
    </row>
    <row r="21" spans="1:5" s="10" customFormat="1">
      <c r="B21" s="20" t="s">
        <v>845</v>
      </c>
      <c r="C21" s="21">
        <f>IF(C19&gt;C20,C19-C20,0)</f>
        <v>0</v>
      </c>
      <c r="D21" s="434"/>
    </row>
    <row r="22" spans="1:5" s="10" customFormat="1" ht="45" customHeight="1">
      <c r="B22" s="642" t="str">
        <f>IF(C20&gt;C19,B27,IF(C20&lt;C19,B29,IF(C20=C19,B25,0)))</f>
        <v>Esta situación también es buena para el contribuyente ya que la Autoridad Fiscal no cuestiona el porque no se invirtieron todos los ingresos en activos para incrementar el patrimonio líquido. No hay renta por comparación patrimonial</v>
      </c>
      <c r="C22" s="642"/>
    </row>
    <row r="23" spans="1:5" s="10" customFormat="1" ht="15" hidden="1" customHeight="1"/>
    <row r="24" spans="1:5" s="10" customFormat="1" hidden="1">
      <c r="B24" s="645" t="s">
        <v>69</v>
      </c>
      <c r="C24" s="645"/>
    </row>
    <row r="25" spans="1:5" s="10" customFormat="1" ht="30.75" hidden="1" customHeight="1">
      <c r="B25" s="646" t="s">
        <v>257</v>
      </c>
      <c r="C25" s="646"/>
    </row>
    <row r="26" spans="1:5" s="10" customFormat="1" hidden="1">
      <c r="B26" s="645" t="s">
        <v>70</v>
      </c>
      <c r="C26" s="645"/>
    </row>
    <row r="27" spans="1:5" ht="30" hidden="1" customHeight="1">
      <c r="B27" s="647" t="s">
        <v>255</v>
      </c>
      <c r="C27" s="647"/>
    </row>
    <row r="28" spans="1:5" hidden="1">
      <c r="B28" s="645" t="s">
        <v>71</v>
      </c>
      <c r="C28" s="645"/>
    </row>
    <row r="29" spans="1:5" ht="49" hidden="1" customHeight="1">
      <c r="B29" s="640" t="s">
        <v>256</v>
      </c>
      <c r="C29" s="640"/>
    </row>
    <row r="31" spans="1:5"/>
    <row r="32" spans="1:5"/>
    <row r="33"/>
    <row r="34"/>
    <row r="35"/>
  </sheetData>
  <mergeCells count="12">
    <mergeCell ref="B1:C1"/>
    <mergeCell ref="B2:C2"/>
    <mergeCell ref="B29:C29"/>
    <mergeCell ref="B18:C18"/>
    <mergeCell ref="B22:C22"/>
    <mergeCell ref="B9:C9"/>
    <mergeCell ref="B10:C10"/>
    <mergeCell ref="B24:C24"/>
    <mergeCell ref="B25:C25"/>
    <mergeCell ref="B26:C26"/>
    <mergeCell ref="B27:C27"/>
    <mergeCell ref="B28:C28"/>
  </mergeCells>
  <dataValidations disablePrompts="1" count="1">
    <dataValidation type="list" allowBlank="1" showInputMessage="1" showErrorMessage="1" errorTitle="Error" error="Por favor borre el texto introducido y elija alguna opción de la lista." promptTitle="elegir opción" sqref="C18" xr:uid="{00000000-0002-0000-0100-000000000000}">
      <formula1>#REF!</formula1>
    </dataValidation>
  </dataValidations>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F4:H72"/>
  <sheetViews>
    <sheetView topLeftCell="A43" workbookViewId="0">
      <selection activeCell="G73" sqref="G73"/>
    </sheetView>
  </sheetViews>
  <sheetFormatPr baseColWidth="10" defaultRowHeight="15"/>
  <cols>
    <col min="6" max="6" width="17.1640625" customWidth="1"/>
  </cols>
  <sheetData>
    <row r="4" spans="6:8">
      <c r="F4" s="324" t="s">
        <v>480</v>
      </c>
      <c r="G4" s="324" t="s">
        <v>481</v>
      </c>
      <c r="H4" s="324" t="s">
        <v>482</v>
      </c>
    </row>
    <row r="5" spans="6:8">
      <c r="F5" s="324" t="s">
        <v>483</v>
      </c>
    </row>
    <row r="6" spans="6:8">
      <c r="F6" s="325" t="s">
        <v>484</v>
      </c>
      <c r="G6" s="326">
        <v>3581.32</v>
      </c>
      <c r="H6" s="326">
        <v>32137.119999999999</v>
      </c>
    </row>
    <row r="7" spans="6:8">
      <c r="F7" s="325">
        <v>1956</v>
      </c>
      <c r="G7" s="326">
        <v>3509.63</v>
      </c>
      <c r="H7" s="326">
        <v>31494.78</v>
      </c>
    </row>
    <row r="8" spans="6:8">
      <c r="F8" s="325">
        <v>1957</v>
      </c>
      <c r="G8" s="326">
        <v>3249.68</v>
      </c>
      <c r="H8" s="326">
        <v>29162.19</v>
      </c>
    </row>
    <row r="9" spans="6:8">
      <c r="F9" s="325">
        <v>1958</v>
      </c>
      <c r="G9" s="326">
        <v>2741.82</v>
      </c>
      <c r="H9" s="326">
        <v>24604.31</v>
      </c>
    </row>
    <row r="10" spans="6:8">
      <c r="F10" s="325">
        <v>1959</v>
      </c>
      <c r="G10" s="326">
        <v>2506.66</v>
      </c>
      <c r="H10" s="326">
        <v>22494.25</v>
      </c>
    </row>
    <row r="11" spans="6:8">
      <c r="F11" s="325">
        <v>1960</v>
      </c>
      <c r="G11" s="326">
        <v>2339.61</v>
      </c>
      <c r="H11" s="326">
        <v>20994.94</v>
      </c>
    </row>
    <row r="12" spans="6:8">
      <c r="F12" s="325">
        <v>1961</v>
      </c>
      <c r="G12" s="326">
        <v>2193.3200000000002</v>
      </c>
      <c r="H12" s="326">
        <v>19576.13</v>
      </c>
    </row>
    <row r="13" spans="6:8">
      <c r="F13" s="325">
        <v>1962</v>
      </c>
      <c r="G13" s="326">
        <v>2064.46</v>
      </c>
      <c r="H13" s="326">
        <v>18525.04</v>
      </c>
    </row>
    <row r="14" spans="6:8">
      <c r="F14" s="325">
        <v>1963</v>
      </c>
      <c r="G14" s="326">
        <v>1928.23</v>
      </c>
      <c r="H14" s="326">
        <v>17303.509999999998</v>
      </c>
    </row>
    <row r="15" spans="6:8">
      <c r="F15" s="325">
        <v>1964</v>
      </c>
      <c r="G15" s="326">
        <v>1474.42</v>
      </c>
      <c r="H15" s="326">
        <v>13231.72</v>
      </c>
    </row>
    <row r="16" spans="6:8">
      <c r="F16" s="325">
        <v>1965</v>
      </c>
      <c r="G16" s="326">
        <v>1349.81</v>
      </c>
      <c r="H16" s="326">
        <v>12112.77</v>
      </c>
    </row>
    <row r="17" spans="6:8">
      <c r="F17" s="325">
        <v>1966</v>
      </c>
      <c r="G17" s="326">
        <v>1177.6199999999999</v>
      </c>
      <c r="H17" s="326">
        <v>10567.7</v>
      </c>
    </row>
    <row r="18" spans="6:8">
      <c r="F18" s="325">
        <v>1967</v>
      </c>
      <c r="G18" s="326">
        <v>1038.26</v>
      </c>
      <c r="H18" s="326">
        <v>9317.76</v>
      </c>
    </row>
    <row r="19" spans="6:8">
      <c r="F19" s="325">
        <v>1968</v>
      </c>
      <c r="G19" s="325">
        <v>964.12</v>
      </c>
      <c r="H19" s="326">
        <v>8651.75</v>
      </c>
    </row>
    <row r="20" spans="6:8">
      <c r="F20" s="325">
        <v>1969</v>
      </c>
      <c r="G20" s="325">
        <v>904.49</v>
      </c>
      <c r="H20" s="326">
        <v>8116.74</v>
      </c>
    </row>
    <row r="21" spans="6:8">
      <c r="F21" s="325">
        <v>1970</v>
      </c>
      <c r="G21" s="325">
        <v>831.68</v>
      </c>
      <c r="H21" s="326">
        <v>7463.36</v>
      </c>
    </row>
    <row r="22" spans="6:8">
      <c r="F22" s="325">
        <v>1971</v>
      </c>
      <c r="G22" s="325">
        <v>776.52</v>
      </c>
      <c r="H22" s="326">
        <v>6967.8</v>
      </c>
    </row>
    <row r="23" spans="6:8">
      <c r="F23" s="325">
        <v>1972</v>
      </c>
      <c r="G23" s="325">
        <v>688.08</v>
      </c>
      <c r="H23" s="326">
        <v>6175.54</v>
      </c>
    </row>
    <row r="24" spans="6:8">
      <c r="F24" s="325">
        <v>1973</v>
      </c>
      <c r="G24" s="325">
        <v>605</v>
      </c>
      <c r="H24" s="326">
        <v>5430.63</v>
      </c>
    </row>
    <row r="25" spans="6:8">
      <c r="F25" s="325">
        <v>1974</v>
      </c>
      <c r="G25" s="325">
        <v>494.23</v>
      </c>
      <c r="H25" s="326">
        <v>4436.3500000000004</v>
      </c>
    </row>
    <row r="26" spans="6:8">
      <c r="F26" s="325">
        <v>1975</v>
      </c>
      <c r="G26" s="325">
        <v>395.29</v>
      </c>
      <c r="H26" s="326">
        <v>3546.24</v>
      </c>
    </row>
    <row r="27" spans="6:8">
      <c r="F27" s="325">
        <v>1976</v>
      </c>
      <c r="G27" s="325">
        <v>336.11</v>
      </c>
      <c r="H27" s="326">
        <v>3015.96</v>
      </c>
    </row>
    <row r="28" spans="6:8">
      <c r="F28" s="325">
        <v>1977</v>
      </c>
      <c r="G28" s="325">
        <v>268</v>
      </c>
      <c r="H28" s="326">
        <v>2403.62</v>
      </c>
    </row>
    <row r="29" spans="6:8">
      <c r="F29" s="325">
        <v>1978</v>
      </c>
      <c r="G29" s="325">
        <v>210.15</v>
      </c>
      <c r="H29" s="326">
        <v>1885.96</v>
      </c>
    </row>
    <row r="30" spans="6:8">
      <c r="F30" s="325">
        <v>1979</v>
      </c>
      <c r="G30" s="325">
        <v>175.54</v>
      </c>
      <c r="H30" s="326">
        <v>1575.05</v>
      </c>
    </row>
    <row r="31" spans="6:8">
      <c r="F31" s="325">
        <v>1980</v>
      </c>
      <c r="G31" s="325">
        <v>138.69</v>
      </c>
      <c r="H31" s="326">
        <v>1245.21</v>
      </c>
    </row>
    <row r="32" spans="6:8">
      <c r="F32" s="325">
        <v>1981</v>
      </c>
      <c r="G32" s="325">
        <v>111.44</v>
      </c>
      <c r="H32" s="325">
        <v>999.01</v>
      </c>
    </row>
    <row r="33" spans="6:8">
      <c r="F33" s="325">
        <v>1982</v>
      </c>
      <c r="G33" s="325">
        <v>88.66</v>
      </c>
      <c r="H33" s="325">
        <v>795.42</v>
      </c>
    </row>
    <row r="34" spans="6:8">
      <c r="F34" s="325">
        <v>1983</v>
      </c>
      <c r="G34" s="325">
        <v>71.239999999999995</v>
      </c>
      <c r="H34" s="325">
        <v>639.17999999999995</v>
      </c>
    </row>
    <row r="35" spans="6:8">
      <c r="F35" s="325">
        <v>1984</v>
      </c>
      <c r="G35" s="325">
        <v>61.19</v>
      </c>
      <c r="H35" s="325">
        <v>549.22</v>
      </c>
    </row>
    <row r="36" spans="6:8">
      <c r="F36" s="325">
        <v>1985</v>
      </c>
      <c r="G36" s="325">
        <v>51.81</v>
      </c>
      <c r="H36" s="325">
        <v>476.62</v>
      </c>
    </row>
    <row r="37" spans="6:8">
      <c r="F37" s="325">
        <v>1986</v>
      </c>
      <c r="G37" s="325">
        <v>42.43</v>
      </c>
      <c r="H37" s="325">
        <v>394.55</v>
      </c>
    </row>
    <row r="38" spans="6:8">
      <c r="F38" s="325">
        <v>1987</v>
      </c>
      <c r="G38" s="325">
        <v>35.06</v>
      </c>
      <c r="H38" s="325">
        <v>334.58</v>
      </c>
    </row>
    <row r="39" spans="6:8">
      <c r="F39" s="325">
        <v>1988</v>
      </c>
      <c r="G39" s="325">
        <v>28.59</v>
      </c>
      <c r="H39" s="325">
        <v>252.51</v>
      </c>
    </row>
    <row r="40" spans="6:8">
      <c r="F40" s="325">
        <v>1989</v>
      </c>
      <c r="G40" s="325">
        <v>22.4</v>
      </c>
      <c r="H40" s="325">
        <v>157.43</v>
      </c>
    </row>
    <row r="41" spans="6:8">
      <c r="F41" s="325">
        <v>1990</v>
      </c>
      <c r="G41" s="325">
        <v>17.760000000000002</v>
      </c>
      <c r="H41" s="325">
        <v>108.87</v>
      </c>
    </row>
    <row r="42" spans="6:8">
      <c r="F42" s="325">
        <v>1991</v>
      </c>
      <c r="G42" s="325">
        <v>13.47</v>
      </c>
      <c r="H42" s="325">
        <v>75.87</v>
      </c>
    </row>
    <row r="43" spans="6:8">
      <c r="F43" s="325">
        <v>1992</v>
      </c>
      <c r="G43" s="325">
        <v>10.61</v>
      </c>
      <c r="H43" s="325">
        <v>56.83</v>
      </c>
    </row>
    <row r="44" spans="6:8">
      <c r="F44" s="325">
        <v>1993</v>
      </c>
      <c r="G44" s="325">
        <v>8.52</v>
      </c>
      <c r="H44" s="325">
        <v>40.39</v>
      </c>
    </row>
    <row r="45" spans="6:8">
      <c r="F45" s="325">
        <v>1994</v>
      </c>
      <c r="G45" s="325">
        <v>6.95</v>
      </c>
      <c r="H45" s="325">
        <v>29.37</v>
      </c>
    </row>
    <row r="46" spans="6:8">
      <c r="F46" s="325">
        <v>1995</v>
      </c>
      <c r="G46" s="325">
        <v>5.69</v>
      </c>
      <c r="H46" s="325">
        <v>20.93</v>
      </c>
    </row>
    <row r="47" spans="6:8">
      <c r="F47" s="325">
        <v>1996</v>
      </c>
      <c r="G47" s="325">
        <v>4.82</v>
      </c>
      <c r="H47" s="325">
        <v>15.47</v>
      </c>
    </row>
    <row r="48" spans="6:8">
      <c r="F48" s="325">
        <v>1997</v>
      </c>
      <c r="G48" s="325">
        <v>4.16</v>
      </c>
      <c r="H48" s="325">
        <v>12.84</v>
      </c>
    </row>
    <row r="49" spans="6:8">
      <c r="F49" s="325">
        <v>1998</v>
      </c>
      <c r="G49" s="325">
        <v>3.54</v>
      </c>
      <c r="H49" s="325">
        <v>9.86</v>
      </c>
    </row>
    <row r="50" spans="6:8">
      <c r="F50" s="325">
        <v>1999</v>
      </c>
      <c r="G50" s="325">
        <v>3.05</v>
      </c>
      <c r="H50" s="325">
        <v>8.2200000000000006</v>
      </c>
    </row>
    <row r="51" spans="6:8">
      <c r="F51" s="325">
        <v>2000</v>
      </c>
      <c r="G51" s="325">
        <v>2.8</v>
      </c>
      <c r="H51" s="325">
        <v>8.16</v>
      </c>
    </row>
    <row r="52" spans="6:8">
      <c r="F52" s="325">
        <v>2001</v>
      </c>
      <c r="G52" s="325">
        <v>2.58</v>
      </c>
      <c r="H52" s="325">
        <v>7.89</v>
      </c>
    </row>
    <row r="53" spans="6:8">
      <c r="F53" s="325">
        <v>2002</v>
      </c>
      <c r="G53" s="325">
        <v>2.4</v>
      </c>
      <c r="H53" s="325">
        <v>7.29</v>
      </c>
    </row>
    <row r="54" spans="6:8">
      <c r="F54" s="325">
        <v>2003</v>
      </c>
      <c r="G54" s="325">
        <v>2.25</v>
      </c>
      <c r="H54" s="325">
        <v>6.55</v>
      </c>
    </row>
    <row r="55" spans="6:8">
      <c r="F55" s="325">
        <v>2004</v>
      </c>
      <c r="G55" s="325">
        <v>2.11</v>
      </c>
      <c r="H55" s="325">
        <v>6.16</v>
      </c>
    </row>
    <row r="56" spans="6:8">
      <c r="F56" s="325">
        <v>2005</v>
      </c>
      <c r="G56" s="325">
        <v>2</v>
      </c>
      <c r="H56" s="325">
        <v>5.78</v>
      </c>
    </row>
    <row r="57" spans="6:8">
      <c r="F57" s="325">
        <v>2006</v>
      </c>
      <c r="G57" s="325">
        <v>1.91</v>
      </c>
      <c r="H57" s="325">
        <v>5.48</v>
      </c>
    </row>
    <row r="58" spans="6:8">
      <c r="F58" s="325">
        <v>2007</v>
      </c>
      <c r="G58" s="325">
        <v>1.82</v>
      </c>
      <c r="H58" s="325">
        <v>4.16</v>
      </c>
    </row>
    <row r="59" spans="6:8">
      <c r="F59" s="325">
        <v>2008</v>
      </c>
      <c r="G59" s="325">
        <v>1.72</v>
      </c>
      <c r="H59" s="325">
        <v>3.7</v>
      </c>
    </row>
    <row r="60" spans="6:8">
      <c r="F60" s="325">
        <v>2009</v>
      </c>
      <c r="G60" s="325">
        <v>1.59</v>
      </c>
      <c r="H60" s="325">
        <v>3.05</v>
      </c>
    </row>
    <row r="61" spans="6:8">
      <c r="F61" s="325">
        <v>2010</v>
      </c>
      <c r="G61" s="325">
        <v>1.56</v>
      </c>
      <c r="H61" s="325">
        <v>2.78</v>
      </c>
    </row>
    <row r="62" spans="6:8">
      <c r="F62" s="325">
        <v>2011</v>
      </c>
      <c r="G62" s="325">
        <v>1.51</v>
      </c>
      <c r="H62" s="325">
        <v>2.5499999999999998</v>
      </c>
    </row>
    <row r="63" spans="6:8">
      <c r="F63" s="325">
        <v>2012</v>
      </c>
      <c r="G63" s="325">
        <v>1.46</v>
      </c>
      <c r="H63" s="325">
        <v>2.13</v>
      </c>
    </row>
    <row r="64" spans="6:8">
      <c r="F64" s="325">
        <v>2013</v>
      </c>
      <c r="G64" s="325">
        <v>1.42</v>
      </c>
      <c r="H64" s="325">
        <v>1.83</v>
      </c>
    </row>
    <row r="65" spans="6:8">
      <c r="F65" s="325">
        <v>2014</v>
      </c>
      <c r="G65" s="325">
        <v>1.39</v>
      </c>
      <c r="H65" s="325">
        <v>1.62</v>
      </c>
    </row>
    <row r="66" spans="6:8">
      <c r="F66" s="325">
        <v>2015</v>
      </c>
      <c r="G66" s="325">
        <v>1.34</v>
      </c>
      <c r="H66" s="325">
        <v>1.5</v>
      </c>
    </row>
    <row r="67" spans="6:8">
      <c r="F67" s="325">
        <v>2016</v>
      </c>
      <c r="G67" s="325">
        <v>1.26</v>
      </c>
      <c r="H67" s="325">
        <v>1.43</v>
      </c>
    </row>
    <row r="68" spans="6:8">
      <c r="F68" s="325">
        <v>2017</v>
      </c>
      <c r="G68" s="325">
        <v>1.19</v>
      </c>
      <c r="H68" s="325">
        <v>1.36</v>
      </c>
    </row>
    <row r="69" spans="6:8">
      <c r="F69" s="325">
        <v>2018</v>
      </c>
      <c r="G69" s="325">
        <v>1.1499999999999999</v>
      </c>
      <c r="H69" s="325">
        <v>1.25</v>
      </c>
    </row>
    <row r="70" spans="6:8">
      <c r="F70" s="325">
        <v>2019</v>
      </c>
      <c r="G70" s="325">
        <v>1.1200000000000001</v>
      </c>
      <c r="H70" s="325">
        <v>1.1599999999999999</v>
      </c>
    </row>
    <row r="71" spans="6:8">
      <c r="F71" s="325">
        <v>2020</v>
      </c>
      <c r="G71" s="325">
        <v>1.08</v>
      </c>
      <c r="H71" s="325">
        <v>1.0900000000000001</v>
      </c>
    </row>
    <row r="72" spans="6:8">
      <c r="F72" s="325">
        <v>2021</v>
      </c>
      <c r="G72" s="325">
        <v>1.06</v>
      </c>
      <c r="H72" s="325">
        <v>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tabColor rgb="FF0070C0"/>
  </sheetPr>
  <dimension ref="A1:IV122"/>
  <sheetViews>
    <sheetView showGridLines="0" zoomScale="130" zoomScaleNormal="130" zoomScaleSheetLayoutView="141" workbookViewId="0">
      <pane ySplit="2" topLeftCell="A106" activePane="bottomLeft" state="frozenSplit"/>
      <selection activeCell="C6" sqref="C6:F6"/>
      <selection pane="bottomLeft" activeCell="D121" sqref="D121"/>
    </sheetView>
  </sheetViews>
  <sheetFormatPr baseColWidth="10" defaultColWidth="0" defaultRowHeight="16" outlineLevelRow="1"/>
  <cols>
    <col min="1" max="1" width="3.5" style="69" customWidth="1"/>
    <col min="2" max="2" width="54" style="69" customWidth="1"/>
    <col min="3" max="3" width="14.5" style="69" bestFit="1" customWidth="1"/>
    <col min="4" max="4" width="15.83203125" style="69" bestFit="1" customWidth="1"/>
    <col min="5" max="5" width="16.5" style="69" customWidth="1"/>
    <col min="6" max="6" width="15.83203125" style="69" customWidth="1"/>
    <col min="7" max="7" width="17.5" style="69" customWidth="1"/>
    <col min="8" max="8" width="16.1640625" style="69" bestFit="1" customWidth="1"/>
    <col min="9" max="9" width="16" style="69" customWidth="1"/>
    <col min="10" max="10" width="31.6640625" style="69" customWidth="1"/>
    <col min="11" max="13" width="17.5" style="69" hidden="1" customWidth="1"/>
    <col min="14" max="256" width="0" style="69" hidden="1" customWidth="1"/>
    <col min="257" max="16384" width="11.5" style="69" hidden="1"/>
  </cols>
  <sheetData>
    <row r="1" spans="2:10" ht="13" customHeight="1"/>
    <row r="2" spans="2:10" ht="15.75" customHeight="1">
      <c r="B2" s="662" t="s">
        <v>216</v>
      </c>
      <c r="C2" s="662"/>
      <c r="D2" s="662"/>
      <c r="E2" s="662"/>
      <c r="F2" s="662"/>
      <c r="G2" s="662"/>
      <c r="H2" s="662"/>
      <c r="I2" s="662"/>
      <c r="J2" s="662"/>
    </row>
    <row r="4" spans="2:10" ht="34">
      <c r="B4" s="659" t="s">
        <v>262</v>
      </c>
      <c r="C4" s="660"/>
      <c r="D4" s="64" t="s">
        <v>169</v>
      </c>
    </row>
    <row r="5" spans="2:10" ht="15" customHeight="1" outlineLevel="1">
      <c r="B5" s="663"/>
      <c r="C5" s="663"/>
      <c r="D5" s="312"/>
    </row>
    <row r="6" spans="2:10" ht="16" customHeight="1" outlineLevel="1">
      <c r="B6" s="653" t="s">
        <v>814</v>
      </c>
      <c r="C6" s="664"/>
      <c r="D6" s="312">
        <v>345980000</v>
      </c>
    </row>
    <row r="7" spans="2:10" ht="16" customHeight="1" outlineLevel="1">
      <c r="B7" s="653" t="s">
        <v>815</v>
      </c>
      <c r="C7" s="664"/>
      <c r="D7" s="312">
        <v>255000000</v>
      </c>
    </row>
    <row r="8" spans="2:10" ht="16" customHeight="1" outlineLevel="1">
      <c r="B8" s="653" t="s">
        <v>816</v>
      </c>
      <c r="C8" s="664"/>
      <c r="D8" s="312">
        <f>290000000+8000000</f>
        <v>298000000</v>
      </c>
    </row>
    <row r="9" spans="2:10" ht="16" customHeight="1" outlineLevel="1">
      <c r="B9" s="663" t="s">
        <v>817</v>
      </c>
      <c r="C9" s="663"/>
      <c r="D9" s="312">
        <v>135000000</v>
      </c>
    </row>
    <row r="10" spans="2:10" ht="16" customHeight="1" outlineLevel="1">
      <c r="B10" s="663"/>
      <c r="C10" s="663"/>
      <c r="D10" s="312"/>
    </row>
    <row r="11" spans="2:10" ht="16" customHeight="1" outlineLevel="1">
      <c r="B11" s="663"/>
      <c r="C11" s="663"/>
      <c r="D11" s="312"/>
    </row>
    <row r="12" spans="2:10" ht="16" customHeight="1" outlineLevel="1">
      <c r="B12" s="663"/>
      <c r="C12" s="663"/>
      <c r="D12" s="312"/>
    </row>
    <row r="13" spans="2:10" ht="16" customHeight="1" outlineLevel="1">
      <c r="B13" s="663"/>
      <c r="C13" s="663"/>
      <c r="D13" s="312"/>
    </row>
    <row r="14" spans="2:10" ht="16" customHeight="1" outlineLevel="1">
      <c r="B14" s="653"/>
      <c r="C14" s="664"/>
      <c r="D14" s="312"/>
    </row>
    <row r="15" spans="2:10" ht="16" customHeight="1" outlineLevel="1">
      <c r="B15" s="665"/>
      <c r="C15" s="663"/>
      <c r="D15" s="312"/>
    </row>
    <row r="16" spans="2:10" outlineLevel="1">
      <c r="B16" s="663"/>
      <c r="C16" s="663"/>
      <c r="D16" s="312"/>
    </row>
    <row r="17" spans="2:6" outlineLevel="1">
      <c r="B17" s="663"/>
      <c r="C17" s="663"/>
      <c r="D17" s="312"/>
    </row>
    <row r="18" spans="2:6" outlineLevel="1">
      <c r="B18" s="653"/>
      <c r="C18" s="654"/>
      <c r="D18" s="312"/>
    </row>
    <row r="19" spans="2:6" outlineLevel="1">
      <c r="B19" s="653"/>
      <c r="C19" s="654"/>
      <c r="D19" s="312"/>
    </row>
    <row r="20" spans="2:6" outlineLevel="1">
      <c r="B20" s="653"/>
      <c r="C20" s="654"/>
      <c r="D20" s="312"/>
    </row>
    <row r="21" spans="2:6" outlineLevel="1">
      <c r="B21" s="653"/>
      <c r="C21" s="654"/>
      <c r="D21" s="312"/>
    </row>
    <row r="22" spans="2:6" outlineLevel="1">
      <c r="B22" s="653"/>
      <c r="C22" s="654"/>
      <c r="D22" s="312"/>
    </row>
    <row r="23" spans="2:6" outlineLevel="1">
      <c r="B23" s="653"/>
      <c r="C23" s="654"/>
      <c r="D23" s="218"/>
    </row>
    <row r="24" spans="2:6" outlineLevel="1">
      <c r="B24" s="653"/>
      <c r="C24" s="654"/>
      <c r="D24" s="218"/>
    </row>
    <row r="25" spans="2:6" outlineLevel="1">
      <c r="B25" s="653"/>
      <c r="C25" s="654"/>
      <c r="D25" s="218"/>
    </row>
    <row r="26" spans="2:6" outlineLevel="1">
      <c r="B26" s="653"/>
      <c r="C26" s="654"/>
      <c r="D26" s="218"/>
    </row>
    <row r="27" spans="2:6" outlineLevel="1">
      <c r="B27" s="653"/>
      <c r="C27" s="654"/>
      <c r="D27" s="218"/>
    </row>
    <row r="28" spans="2:6" outlineLevel="1">
      <c r="B28" s="653"/>
      <c r="C28" s="654"/>
      <c r="D28" s="218"/>
    </row>
    <row r="29" spans="2:6" s="70" customFormat="1" ht="17.25" customHeight="1">
      <c r="B29" s="657" t="s">
        <v>233</v>
      </c>
      <c r="C29" s="658"/>
      <c r="D29" s="135">
        <f>SUM(D5:D28)</f>
        <v>1033980000</v>
      </c>
    </row>
    <row r="30" spans="2:6">
      <c r="B30" s="136"/>
      <c r="C30" s="136"/>
      <c r="D30" s="49"/>
    </row>
    <row r="31" spans="2:6">
      <c r="B31" s="136"/>
      <c r="C31" s="136"/>
      <c r="D31" s="49"/>
    </row>
    <row r="32" spans="2:6" ht="34">
      <c r="B32" s="659" t="s">
        <v>259</v>
      </c>
      <c r="C32" s="660"/>
      <c r="D32" s="64" t="s">
        <v>169</v>
      </c>
      <c r="F32" s="177"/>
    </row>
    <row r="33" spans="2:4" ht="16" customHeight="1" outlineLevel="1">
      <c r="B33" s="653"/>
      <c r="C33" s="654"/>
      <c r="D33" s="218"/>
    </row>
    <row r="34" spans="2:4" ht="16" customHeight="1" outlineLevel="1">
      <c r="B34" s="653"/>
      <c r="C34" s="654"/>
      <c r="D34" s="218"/>
    </row>
    <row r="35" spans="2:4" ht="16" customHeight="1" outlineLevel="1">
      <c r="B35" s="653" t="s">
        <v>818</v>
      </c>
      <c r="C35" s="654"/>
      <c r="D35" s="218">
        <v>12000000</v>
      </c>
    </row>
    <row r="36" spans="2:4" ht="16" customHeight="1" outlineLevel="1">
      <c r="B36" s="653"/>
      <c r="C36" s="654"/>
      <c r="D36" s="218"/>
    </row>
    <row r="37" spans="2:4" ht="16" customHeight="1" outlineLevel="1">
      <c r="B37" s="653"/>
      <c r="C37" s="654"/>
      <c r="D37" s="218"/>
    </row>
    <row r="38" spans="2:4" ht="16" customHeight="1" outlineLevel="1">
      <c r="B38" s="661"/>
      <c r="C38" s="654"/>
      <c r="D38" s="218"/>
    </row>
    <row r="39" spans="2:4" outlineLevel="1">
      <c r="B39" s="653"/>
      <c r="C39" s="654"/>
      <c r="D39" s="218"/>
    </row>
    <row r="40" spans="2:4" outlineLevel="1">
      <c r="B40" s="653"/>
      <c r="C40" s="654"/>
      <c r="D40" s="218"/>
    </row>
    <row r="41" spans="2:4" outlineLevel="1">
      <c r="B41" s="653"/>
      <c r="C41" s="654"/>
      <c r="D41" s="218"/>
    </row>
    <row r="42" spans="2:4" outlineLevel="1">
      <c r="B42" s="653"/>
      <c r="C42" s="654"/>
      <c r="D42" s="218"/>
    </row>
    <row r="43" spans="2:4" outlineLevel="1">
      <c r="B43" s="653"/>
      <c r="C43" s="654"/>
      <c r="D43" s="218"/>
    </row>
    <row r="44" spans="2:4" outlineLevel="1">
      <c r="B44" s="653"/>
      <c r="C44" s="654"/>
      <c r="D44" s="218"/>
    </row>
    <row r="45" spans="2:4" outlineLevel="1">
      <c r="B45" s="653"/>
      <c r="C45" s="654"/>
      <c r="D45" s="218"/>
    </row>
    <row r="46" spans="2:4" outlineLevel="1">
      <c r="B46" s="653"/>
      <c r="C46" s="654"/>
      <c r="D46" s="218"/>
    </row>
    <row r="47" spans="2:4" outlineLevel="1">
      <c r="B47" s="653"/>
      <c r="C47" s="654"/>
      <c r="D47" s="218"/>
    </row>
    <row r="48" spans="2:4" outlineLevel="1">
      <c r="B48" s="653"/>
      <c r="C48" s="654"/>
      <c r="D48" s="218"/>
    </row>
    <row r="49" spans="2:10" outlineLevel="1">
      <c r="B49" s="653"/>
      <c r="C49" s="654"/>
      <c r="D49" s="218"/>
    </row>
    <row r="50" spans="2:10" outlineLevel="1">
      <c r="B50" s="653"/>
      <c r="C50" s="654"/>
      <c r="D50" s="199"/>
    </row>
    <row r="51" spans="2:10" outlineLevel="1">
      <c r="B51" s="653"/>
      <c r="C51" s="654"/>
      <c r="D51" s="218"/>
    </row>
    <row r="52" spans="2:10" outlineLevel="1">
      <c r="B52" s="653"/>
      <c r="C52" s="654"/>
      <c r="D52" s="218"/>
    </row>
    <row r="53" spans="2:10" outlineLevel="1">
      <c r="B53" s="653"/>
      <c r="C53" s="654"/>
      <c r="D53" s="218"/>
      <c r="G53" s="77"/>
      <c r="H53" s="77"/>
    </row>
    <row r="54" spans="2:10" outlineLevel="1">
      <c r="B54" s="653"/>
      <c r="C54" s="654"/>
      <c r="D54" s="218"/>
      <c r="G54" s="77"/>
      <c r="H54" s="77"/>
    </row>
    <row r="55" spans="2:10" outlineLevel="1">
      <c r="B55" s="653"/>
      <c r="C55" s="654"/>
      <c r="D55" s="218"/>
      <c r="G55" s="77"/>
      <c r="H55" s="77"/>
    </row>
    <row r="56" spans="2:10" outlineLevel="1">
      <c r="B56" s="653"/>
      <c r="C56" s="654"/>
      <c r="D56" s="218"/>
      <c r="G56" s="320"/>
      <c r="H56" s="320"/>
      <c r="I56" s="77"/>
      <c r="J56" s="320"/>
    </row>
    <row r="57" spans="2:10" outlineLevel="1">
      <c r="B57" s="653"/>
      <c r="C57" s="654"/>
      <c r="D57" s="218"/>
    </row>
    <row r="58" spans="2:10" s="70" customFormat="1">
      <c r="B58" s="657" t="s">
        <v>170</v>
      </c>
      <c r="C58" s="658"/>
      <c r="D58" s="135">
        <f>SUM(D33:D57)</f>
        <v>12000000</v>
      </c>
      <c r="E58" s="137"/>
    </row>
    <row r="59" spans="2:10">
      <c r="B59" s="136"/>
      <c r="C59" s="136"/>
      <c r="D59" s="49"/>
      <c r="E59" s="137"/>
    </row>
    <row r="60" spans="2:10">
      <c r="B60" s="136"/>
      <c r="C60" s="136"/>
      <c r="D60" s="49"/>
    </row>
    <row r="61" spans="2:10">
      <c r="B61" s="674" t="s">
        <v>366</v>
      </c>
      <c r="C61" s="674"/>
      <c r="D61" s="674"/>
      <c r="E61" s="674"/>
      <c r="F61" s="674"/>
      <c r="G61" s="674"/>
      <c r="H61" s="674"/>
    </row>
    <row r="62" spans="2:10" ht="42" outlineLevel="1">
      <c r="B62" s="138" t="s">
        <v>112</v>
      </c>
      <c r="C62" s="139" t="s">
        <v>238</v>
      </c>
      <c r="D62" s="139" t="s">
        <v>546</v>
      </c>
      <c r="E62" s="139" t="s">
        <v>805</v>
      </c>
      <c r="F62" s="139" t="s">
        <v>847</v>
      </c>
      <c r="G62" s="139" t="s">
        <v>803</v>
      </c>
      <c r="H62" s="139" t="s">
        <v>804</v>
      </c>
    </row>
    <row r="63" spans="2:10" outlineLevel="1">
      <c r="B63" s="316"/>
      <c r="C63" s="219"/>
      <c r="D63" s="218"/>
      <c r="E63" s="218"/>
      <c r="F63" s="140">
        <f t="shared" ref="F63:F78" si="0">IF(C63&gt;"No",D63*$D$121,0)</f>
        <v>0</v>
      </c>
      <c r="G63" s="141">
        <f>SUM(D63:F63)</f>
        <v>0</v>
      </c>
      <c r="H63" s="141">
        <f>G63-E63-D63</f>
        <v>0</v>
      </c>
    </row>
    <row r="64" spans="2:10" ht="17" outlineLevel="1">
      <c r="B64" s="316" t="s">
        <v>819</v>
      </c>
      <c r="C64" s="219" t="s">
        <v>470</v>
      </c>
      <c r="D64" s="317">
        <f>8000*7670</f>
        <v>61360000</v>
      </c>
      <c r="E64" s="218"/>
      <c r="F64" s="140">
        <f t="shared" si="0"/>
        <v>0</v>
      </c>
      <c r="G64" s="141">
        <f>SUM(D64:F64)</f>
        <v>61360000</v>
      </c>
      <c r="H64" s="141">
        <f>G64-E64-D64</f>
        <v>0</v>
      </c>
    </row>
    <row r="65" spans="2:10" ht="17" outlineLevel="1">
      <c r="B65" s="316" t="s">
        <v>841</v>
      </c>
      <c r="C65" s="219" t="s">
        <v>470</v>
      </c>
      <c r="D65" s="317"/>
      <c r="E65" s="312">
        <v>870000000</v>
      </c>
      <c r="F65" s="140">
        <f t="shared" si="0"/>
        <v>0</v>
      </c>
      <c r="G65" s="141">
        <f t="shared" ref="G65:G78" si="1">SUM(D65:F65)</f>
        <v>870000000</v>
      </c>
      <c r="H65" s="141">
        <f t="shared" ref="H65:H78" si="2">G65-E65-D65</f>
        <v>0</v>
      </c>
    </row>
    <row r="66" spans="2:10" ht="17" outlineLevel="1">
      <c r="B66" s="361"/>
      <c r="C66" s="219" t="s">
        <v>470</v>
      </c>
      <c r="D66" s="317"/>
      <c r="E66" s="218"/>
      <c r="F66" s="140">
        <f t="shared" si="0"/>
        <v>0</v>
      </c>
      <c r="G66" s="141">
        <f t="shared" si="1"/>
        <v>0</v>
      </c>
      <c r="H66" s="141">
        <f t="shared" si="2"/>
        <v>0</v>
      </c>
    </row>
    <row r="67" spans="2:10" ht="17" outlineLevel="1">
      <c r="B67" s="316"/>
      <c r="C67" s="219" t="s">
        <v>470</v>
      </c>
      <c r="D67" s="317"/>
      <c r="E67" s="218"/>
      <c r="F67" s="140">
        <f t="shared" si="0"/>
        <v>0</v>
      </c>
      <c r="G67" s="141">
        <f t="shared" si="1"/>
        <v>0</v>
      </c>
      <c r="H67" s="141">
        <f t="shared" si="2"/>
        <v>0</v>
      </c>
    </row>
    <row r="68" spans="2:10" ht="16" customHeight="1" outlineLevel="1">
      <c r="B68" s="220"/>
      <c r="C68" s="219" t="s">
        <v>470</v>
      </c>
      <c r="D68" s="317"/>
      <c r="E68" s="218"/>
      <c r="F68" s="140">
        <f t="shared" si="0"/>
        <v>0</v>
      </c>
      <c r="G68" s="141">
        <f t="shared" si="1"/>
        <v>0</v>
      </c>
      <c r="H68" s="141">
        <f>G68-E68-D68</f>
        <v>0</v>
      </c>
      <c r="I68" s="77"/>
    </row>
    <row r="69" spans="2:10" ht="17" outlineLevel="1">
      <c r="B69" s="316"/>
      <c r="C69" s="219" t="s">
        <v>470</v>
      </c>
      <c r="D69" s="317"/>
      <c r="E69" s="218"/>
      <c r="F69" s="140">
        <f t="shared" si="0"/>
        <v>0</v>
      </c>
      <c r="G69" s="141">
        <f t="shared" si="1"/>
        <v>0</v>
      </c>
      <c r="H69" s="141">
        <f t="shared" si="2"/>
        <v>0</v>
      </c>
    </row>
    <row r="70" spans="2:10" ht="17" outlineLevel="1">
      <c r="B70" s="316"/>
      <c r="C70" s="219" t="s">
        <v>470</v>
      </c>
      <c r="D70" s="317"/>
      <c r="E70" s="218"/>
      <c r="F70" s="140">
        <f t="shared" si="0"/>
        <v>0</v>
      </c>
      <c r="G70" s="141">
        <f t="shared" ref="G70:G73" si="3">SUM(D70:F70)</f>
        <v>0</v>
      </c>
      <c r="H70" s="141">
        <f t="shared" ref="H70:H73" si="4">G70-E70-D70</f>
        <v>0</v>
      </c>
      <c r="J70" s="77"/>
    </row>
    <row r="71" spans="2:10" outlineLevel="1">
      <c r="B71" s="316"/>
      <c r="C71" s="219"/>
      <c r="D71" s="317"/>
      <c r="E71" s="218">
        <v>0</v>
      </c>
      <c r="F71" s="140">
        <f t="shared" si="0"/>
        <v>0</v>
      </c>
      <c r="G71" s="141">
        <f t="shared" si="3"/>
        <v>0</v>
      </c>
      <c r="H71" s="141">
        <f t="shared" si="4"/>
        <v>0</v>
      </c>
      <c r="J71" s="77"/>
    </row>
    <row r="72" spans="2:10" outlineLevel="1">
      <c r="B72" s="316"/>
      <c r="C72" s="219"/>
      <c r="D72" s="317"/>
      <c r="E72" s="218">
        <v>0</v>
      </c>
      <c r="F72" s="140">
        <f t="shared" si="0"/>
        <v>0</v>
      </c>
      <c r="G72" s="141">
        <f t="shared" si="3"/>
        <v>0</v>
      </c>
      <c r="H72" s="141">
        <f t="shared" si="4"/>
        <v>0</v>
      </c>
      <c r="J72" s="321"/>
    </row>
    <row r="73" spans="2:10" outlineLevel="1">
      <c r="B73" s="316"/>
      <c r="C73" s="219"/>
      <c r="D73" s="317"/>
      <c r="E73" s="218"/>
      <c r="F73" s="140">
        <f t="shared" si="0"/>
        <v>0</v>
      </c>
      <c r="G73" s="141">
        <f t="shared" si="3"/>
        <v>0</v>
      </c>
      <c r="H73" s="141">
        <f t="shared" si="4"/>
        <v>0</v>
      </c>
      <c r="J73" s="77"/>
    </row>
    <row r="74" spans="2:10" outlineLevel="1">
      <c r="B74" s="316"/>
      <c r="C74" s="219"/>
      <c r="D74" s="317"/>
      <c r="E74" s="218"/>
      <c r="F74" s="140">
        <f t="shared" si="0"/>
        <v>0</v>
      </c>
      <c r="G74" s="141">
        <f t="shared" si="1"/>
        <v>0</v>
      </c>
      <c r="H74" s="141">
        <f t="shared" si="2"/>
        <v>0</v>
      </c>
    </row>
    <row r="75" spans="2:10" outlineLevel="1">
      <c r="B75" s="316"/>
      <c r="C75" s="219"/>
      <c r="D75" s="317"/>
      <c r="E75" s="218"/>
      <c r="F75" s="140">
        <f t="shared" si="0"/>
        <v>0</v>
      </c>
      <c r="G75" s="141">
        <f t="shared" si="1"/>
        <v>0</v>
      </c>
      <c r="H75" s="141">
        <f t="shared" si="2"/>
        <v>0</v>
      </c>
    </row>
    <row r="76" spans="2:10" outlineLevel="1">
      <c r="B76" s="220"/>
      <c r="C76" s="219"/>
      <c r="D76" s="317"/>
      <c r="E76" s="218"/>
      <c r="F76" s="140">
        <f t="shared" si="0"/>
        <v>0</v>
      </c>
      <c r="G76" s="141">
        <f t="shared" si="1"/>
        <v>0</v>
      </c>
      <c r="H76" s="141">
        <f t="shared" si="2"/>
        <v>0</v>
      </c>
    </row>
    <row r="77" spans="2:10" outlineLevel="1">
      <c r="B77" s="221"/>
      <c r="C77" s="219"/>
      <c r="D77" s="317"/>
      <c r="E77" s="218"/>
      <c r="F77" s="140">
        <f t="shared" si="0"/>
        <v>0</v>
      </c>
      <c r="G77" s="141">
        <f t="shared" si="1"/>
        <v>0</v>
      </c>
      <c r="H77" s="141">
        <f t="shared" si="2"/>
        <v>0</v>
      </c>
    </row>
    <row r="78" spans="2:10" outlineLevel="1">
      <c r="B78" s="222"/>
      <c r="C78" s="219"/>
      <c r="D78" s="317"/>
      <c r="E78" s="218"/>
      <c r="F78" s="140">
        <f t="shared" si="0"/>
        <v>0</v>
      </c>
      <c r="G78" s="141">
        <f t="shared" si="1"/>
        <v>0</v>
      </c>
      <c r="H78" s="141">
        <f t="shared" si="2"/>
        <v>0</v>
      </c>
    </row>
    <row r="79" spans="2:10" ht="15.75" customHeight="1" outlineLevel="1">
      <c r="B79" s="595" t="s">
        <v>552</v>
      </c>
      <c r="C79" s="595"/>
      <c r="D79" s="595"/>
      <c r="E79" s="595"/>
      <c r="F79" s="595"/>
      <c r="G79" s="142">
        <f>SUM(G63:G78)</f>
        <v>931360000</v>
      </c>
      <c r="H79" s="142">
        <f>SUM(H63:H78)</f>
        <v>0</v>
      </c>
    </row>
    <row r="80" spans="2:10" outlineLevel="1">
      <c r="B80" s="143"/>
      <c r="C80" s="143"/>
      <c r="D80" s="143"/>
      <c r="E80" s="143"/>
      <c r="F80" s="143"/>
      <c r="G80" s="137"/>
      <c r="H80" s="137"/>
    </row>
    <row r="81" spans="2:12">
      <c r="B81" s="655"/>
      <c r="C81" s="655"/>
      <c r="D81" s="655"/>
      <c r="E81" s="655"/>
      <c r="F81" s="655"/>
      <c r="G81" s="655"/>
      <c r="H81" s="655"/>
      <c r="J81" s="49"/>
    </row>
    <row r="82" spans="2:12">
      <c r="B82" s="671" t="s">
        <v>367</v>
      </c>
      <c r="C82" s="672"/>
      <c r="D82" s="672"/>
      <c r="E82" s="672"/>
      <c r="F82" s="672"/>
      <c r="G82" s="672"/>
      <c r="H82" s="672"/>
      <c r="I82" s="672"/>
      <c r="J82" s="673"/>
    </row>
    <row r="83" spans="2:12" ht="54.75" customHeight="1">
      <c r="B83" s="145" t="s">
        <v>112</v>
      </c>
      <c r="C83" s="146" t="s">
        <v>238</v>
      </c>
      <c r="D83" s="146" t="s">
        <v>546</v>
      </c>
      <c r="E83" s="146" t="s">
        <v>800</v>
      </c>
      <c r="F83" s="139" t="s">
        <v>847</v>
      </c>
      <c r="G83" s="146" t="s">
        <v>801</v>
      </c>
      <c r="H83" s="146" t="s">
        <v>802</v>
      </c>
      <c r="I83" s="146" t="s">
        <v>803</v>
      </c>
      <c r="J83" s="146" t="s">
        <v>804</v>
      </c>
    </row>
    <row r="84" spans="2:12" ht="15" customHeight="1">
      <c r="B84" s="220"/>
      <c r="C84" s="219" t="s">
        <v>470</v>
      </c>
      <c r="D84" s="218">
        <v>0</v>
      </c>
      <c r="E84" s="218"/>
      <c r="F84" s="147">
        <f>IF(C84&gt;"No",D84*$D$121,0)</f>
        <v>0</v>
      </c>
      <c r="G84" s="148">
        <f>SUM(D84:F84)</f>
        <v>0</v>
      </c>
      <c r="H84" s="218"/>
      <c r="I84" s="149">
        <f>IF(H84&gt;G84,H84,G84)</f>
        <v>0</v>
      </c>
      <c r="J84" s="149">
        <f>I84-E84-D84</f>
        <v>0</v>
      </c>
    </row>
    <row r="85" spans="2:12" ht="17">
      <c r="B85" s="220" t="s">
        <v>848</v>
      </c>
      <c r="C85" s="219" t="s">
        <v>470</v>
      </c>
      <c r="D85" s="218">
        <v>230000000</v>
      </c>
      <c r="E85" s="218"/>
      <c r="F85" s="147">
        <f t="shared" ref="F85:F100" si="5">IF(C85&gt;"No",D85*$D$121,0)</f>
        <v>0</v>
      </c>
      <c r="G85" s="148">
        <f t="shared" ref="G85:G100" si="6">SUM(D85:F85)</f>
        <v>230000000</v>
      </c>
      <c r="H85" s="218"/>
      <c r="I85" s="149">
        <f t="shared" ref="I85:I97" si="7">IF(H85&gt;G85,H85,G85)</f>
        <v>230000000</v>
      </c>
      <c r="J85" s="149">
        <f>I85-E85-D85</f>
        <v>0</v>
      </c>
      <c r="L85" s="72"/>
    </row>
    <row r="86" spans="2:12" ht="17">
      <c r="B86" s="220" t="s">
        <v>820</v>
      </c>
      <c r="C86" s="219" t="s">
        <v>470</v>
      </c>
      <c r="D86" s="218">
        <v>643000000</v>
      </c>
      <c r="E86" s="218">
        <v>12000000</v>
      </c>
      <c r="F86" s="147">
        <f t="shared" si="5"/>
        <v>0</v>
      </c>
      <c r="G86" s="148">
        <f t="shared" si="6"/>
        <v>655000000</v>
      </c>
      <c r="H86" s="218">
        <v>670000000</v>
      </c>
      <c r="I86" s="149">
        <f t="shared" si="7"/>
        <v>670000000</v>
      </c>
      <c r="J86" s="149">
        <f>I86-E86-D86</f>
        <v>15000000</v>
      </c>
      <c r="L86" s="72"/>
    </row>
    <row r="87" spans="2:12" ht="17">
      <c r="B87" s="220" t="s">
        <v>821</v>
      </c>
      <c r="C87" s="219" t="s">
        <v>470</v>
      </c>
      <c r="D87" s="218">
        <v>780000000</v>
      </c>
      <c r="E87" s="218"/>
      <c r="F87" s="147">
        <f t="shared" si="5"/>
        <v>0</v>
      </c>
      <c r="G87" s="148">
        <f t="shared" si="6"/>
        <v>780000000</v>
      </c>
      <c r="H87" s="218">
        <v>815000000</v>
      </c>
      <c r="I87" s="149">
        <f t="shared" si="7"/>
        <v>815000000</v>
      </c>
      <c r="J87" s="149">
        <f t="shared" ref="J87:J99" si="8">I87-E87-D87</f>
        <v>35000000</v>
      </c>
      <c r="L87" s="72"/>
    </row>
    <row r="88" spans="2:12" ht="17">
      <c r="B88" s="220"/>
      <c r="C88" s="219" t="s">
        <v>470</v>
      </c>
      <c r="D88" s="218"/>
      <c r="E88" s="218"/>
      <c r="F88" s="147">
        <f t="shared" si="5"/>
        <v>0</v>
      </c>
      <c r="G88" s="148">
        <f t="shared" ref="G88:G92" si="9">SUM(D88:F88)</f>
        <v>0</v>
      </c>
      <c r="H88" s="218"/>
      <c r="I88" s="149">
        <f t="shared" si="7"/>
        <v>0</v>
      </c>
      <c r="J88" s="149">
        <f t="shared" ref="J88:J92" si="10">I88-E88-D88</f>
        <v>0</v>
      </c>
      <c r="L88" s="72"/>
    </row>
    <row r="89" spans="2:12" ht="17">
      <c r="B89" s="220"/>
      <c r="C89" s="219" t="s">
        <v>258</v>
      </c>
      <c r="D89" s="218"/>
      <c r="E89" s="218"/>
      <c r="F89" s="147">
        <f t="shared" si="5"/>
        <v>0</v>
      </c>
      <c r="G89" s="148">
        <f t="shared" si="9"/>
        <v>0</v>
      </c>
      <c r="H89" s="218"/>
      <c r="I89" s="149">
        <f t="shared" si="7"/>
        <v>0</v>
      </c>
      <c r="J89" s="149">
        <f t="shared" si="10"/>
        <v>0</v>
      </c>
      <c r="L89" s="72"/>
    </row>
    <row r="90" spans="2:12" ht="17">
      <c r="B90" s="220"/>
      <c r="C90" s="219" t="s">
        <v>258</v>
      </c>
      <c r="D90" s="218"/>
      <c r="E90" s="218"/>
      <c r="F90" s="147">
        <f t="shared" si="5"/>
        <v>0</v>
      </c>
      <c r="G90" s="148">
        <f t="shared" si="9"/>
        <v>0</v>
      </c>
      <c r="H90" s="218"/>
      <c r="I90" s="149">
        <f t="shared" si="7"/>
        <v>0</v>
      </c>
      <c r="J90" s="149">
        <f t="shared" si="10"/>
        <v>0</v>
      </c>
      <c r="L90" s="72"/>
    </row>
    <row r="91" spans="2:12" ht="17">
      <c r="B91" s="220"/>
      <c r="C91" s="219" t="s">
        <v>470</v>
      </c>
      <c r="D91" s="218"/>
      <c r="E91" s="218"/>
      <c r="F91" s="147">
        <f t="shared" si="5"/>
        <v>0</v>
      </c>
      <c r="G91" s="148">
        <f t="shared" si="9"/>
        <v>0</v>
      </c>
      <c r="H91" s="218"/>
      <c r="I91" s="149">
        <f t="shared" si="7"/>
        <v>0</v>
      </c>
      <c r="J91" s="149">
        <f t="shared" si="10"/>
        <v>0</v>
      </c>
      <c r="L91" s="72"/>
    </row>
    <row r="92" spans="2:12" ht="17">
      <c r="B92" s="220"/>
      <c r="C92" s="219" t="s">
        <v>470</v>
      </c>
      <c r="D92" s="218">
        <v>0</v>
      </c>
      <c r="E92" s="218"/>
      <c r="F92" s="147">
        <f t="shared" si="5"/>
        <v>0</v>
      </c>
      <c r="G92" s="148">
        <f t="shared" si="9"/>
        <v>0</v>
      </c>
      <c r="H92" s="218"/>
      <c r="I92" s="149">
        <f t="shared" si="7"/>
        <v>0</v>
      </c>
      <c r="J92" s="149">
        <f t="shared" si="10"/>
        <v>0</v>
      </c>
      <c r="L92" s="72"/>
    </row>
    <row r="93" spans="2:12" ht="17">
      <c r="B93" s="220"/>
      <c r="C93" s="219" t="s">
        <v>470</v>
      </c>
      <c r="D93" s="218">
        <v>0</v>
      </c>
      <c r="E93" s="218"/>
      <c r="F93" s="147">
        <f t="shared" si="5"/>
        <v>0</v>
      </c>
      <c r="G93" s="148">
        <f t="shared" si="6"/>
        <v>0</v>
      </c>
      <c r="H93" s="218"/>
      <c r="I93" s="149">
        <f t="shared" si="7"/>
        <v>0</v>
      </c>
      <c r="J93" s="149">
        <f t="shared" si="8"/>
        <v>0</v>
      </c>
      <c r="L93" s="72"/>
    </row>
    <row r="94" spans="2:12" ht="17">
      <c r="B94" s="220"/>
      <c r="C94" s="219" t="s">
        <v>470</v>
      </c>
      <c r="D94" s="218">
        <v>0</v>
      </c>
      <c r="E94" s="218"/>
      <c r="F94" s="147">
        <f t="shared" si="5"/>
        <v>0</v>
      </c>
      <c r="G94" s="148">
        <f t="shared" si="6"/>
        <v>0</v>
      </c>
      <c r="H94" s="218"/>
      <c r="I94" s="149">
        <f t="shared" si="7"/>
        <v>0</v>
      </c>
      <c r="J94" s="149">
        <f t="shared" si="8"/>
        <v>0</v>
      </c>
    </row>
    <row r="95" spans="2:12" ht="17">
      <c r="B95" s="220"/>
      <c r="C95" s="219" t="s">
        <v>470</v>
      </c>
      <c r="D95" s="218">
        <v>0</v>
      </c>
      <c r="E95" s="218">
        <v>0</v>
      </c>
      <c r="F95" s="147">
        <f t="shared" si="5"/>
        <v>0</v>
      </c>
      <c r="G95" s="148">
        <f t="shared" si="6"/>
        <v>0</v>
      </c>
      <c r="H95" s="218"/>
      <c r="I95" s="149">
        <f t="shared" si="7"/>
        <v>0</v>
      </c>
      <c r="J95" s="149">
        <f t="shared" si="8"/>
        <v>0</v>
      </c>
    </row>
    <row r="96" spans="2:12" ht="17">
      <c r="B96" s="220"/>
      <c r="C96" s="219" t="s">
        <v>470</v>
      </c>
      <c r="D96" s="218">
        <v>0</v>
      </c>
      <c r="E96" s="218"/>
      <c r="F96" s="147">
        <f t="shared" si="5"/>
        <v>0</v>
      </c>
      <c r="G96" s="148">
        <f t="shared" si="6"/>
        <v>0</v>
      </c>
      <c r="H96" s="218"/>
      <c r="I96" s="149">
        <f t="shared" si="7"/>
        <v>0</v>
      </c>
      <c r="J96" s="149">
        <f t="shared" si="8"/>
        <v>0</v>
      </c>
    </row>
    <row r="97" spans="2:13" ht="17">
      <c r="B97" s="220"/>
      <c r="C97" s="219" t="s">
        <v>258</v>
      </c>
      <c r="D97" s="218"/>
      <c r="E97" s="218">
        <v>0</v>
      </c>
      <c r="F97" s="147">
        <f t="shared" si="5"/>
        <v>0</v>
      </c>
      <c r="G97" s="148">
        <f t="shared" si="6"/>
        <v>0</v>
      </c>
      <c r="H97" s="218"/>
      <c r="I97" s="149">
        <f t="shared" si="7"/>
        <v>0</v>
      </c>
      <c r="J97" s="149">
        <f t="shared" si="8"/>
        <v>0</v>
      </c>
    </row>
    <row r="98" spans="2:13" ht="17">
      <c r="B98" s="220"/>
      <c r="C98" s="219" t="s">
        <v>258</v>
      </c>
      <c r="D98" s="218"/>
      <c r="E98" s="218">
        <v>0</v>
      </c>
      <c r="F98" s="147">
        <f t="shared" si="5"/>
        <v>0</v>
      </c>
      <c r="G98" s="148">
        <f t="shared" si="6"/>
        <v>0</v>
      </c>
      <c r="H98" s="218"/>
      <c r="I98" s="149">
        <f t="shared" ref="I98:I100" si="11">IF(H98&gt;G98,H98,G98)</f>
        <v>0</v>
      </c>
      <c r="J98" s="149">
        <f t="shared" si="8"/>
        <v>0</v>
      </c>
    </row>
    <row r="99" spans="2:13" ht="17">
      <c r="B99" s="220"/>
      <c r="C99" s="219" t="s">
        <v>258</v>
      </c>
      <c r="D99" s="218"/>
      <c r="E99" s="218"/>
      <c r="F99" s="147">
        <f t="shared" si="5"/>
        <v>0</v>
      </c>
      <c r="G99" s="148">
        <f t="shared" si="6"/>
        <v>0</v>
      </c>
      <c r="H99" s="218"/>
      <c r="I99" s="149">
        <f t="shared" si="11"/>
        <v>0</v>
      </c>
      <c r="J99" s="149">
        <f t="shared" si="8"/>
        <v>0</v>
      </c>
    </row>
    <row r="100" spans="2:13" ht="17">
      <c r="B100" s="220"/>
      <c r="C100" s="219" t="s">
        <v>258</v>
      </c>
      <c r="D100" s="218"/>
      <c r="E100" s="218"/>
      <c r="F100" s="147">
        <f t="shared" si="5"/>
        <v>0</v>
      </c>
      <c r="G100" s="148">
        <f t="shared" si="6"/>
        <v>0</v>
      </c>
      <c r="H100" s="218"/>
      <c r="I100" s="149">
        <f t="shared" si="11"/>
        <v>0</v>
      </c>
      <c r="J100" s="149">
        <f t="shared" ref="J100" si="12">I100-E100-D100</f>
        <v>0</v>
      </c>
    </row>
    <row r="101" spans="2:13" ht="15.75" customHeight="1">
      <c r="B101" s="668" t="s">
        <v>552</v>
      </c>
      <c r="C101" s="669"/>
      <c r="D101" s="669"/>
      <c r="E101" s="669"/>
      <c r="F101" s="669"/>
      <c r="G101" s="669"/>
      <c r="H101" s="670"/>
      <c r="I101" s="142">
        <f>SUM(I84:I100)</f>
        <v>1715000000</v>
      </c>
      <c r="J101" s="142">
        <f>SUM(J84:J100)</f>
        <v>50000000</v>
      </c>
    </row>
    <row r="102" spans="2:13">
      <c r="B102" s="143"/>
      <c r="C102" s="143"/>
      <c r="D102" s="143"/>
      <c r="E102" s="143"/>
      <c r="F102" s="143"/>
      <c r="G102" s="143"/>
      <c r="H102" s="143"/>
      <c r="I102" s="137"/>
      <c r="J102" s="137"/>
    </row>
    <row r="103" spans="2:13">
      <c r="B103" s="656"/>
      <c r="C103" s="656"/>
      <c r="D103" s="656"/>
      <c r="E103" s="656"/>
      <c r="F103" s="656"/>
      <c r="G103" s="151"/>
      <c r="H103" s="152"/>
      <c r="I103" s="49"/>
      <c r="J103" s="49"/>
      <c r="L103" s="49"/>
      <c r="M103" s="49"/>
    </row>
    <row r="104" spans="2:13">
      <c r="B104" s="651" t="s">
        <v>789</v>
      </c>
      <c r="C104" s="652"/>
      <c r="D104" s="652"/>
      <c r="E104" s="652"/>
      <c r="F104" s="652"/>
      <c r="G104" s="652"/>
      <c r="H104" s="652"/>
      <c r="I104" s="652"/>
    </row>
    <row r="105" spans="2:13" ht="76.5" customHeight="1">
      <c r="B105" s="145" t="s">
        <v>112</v>
      </c>
      <c r="C105" s="146" t="s">
        <v>546</v>
      </c>
      <c r="D105" s="146" t="s">
        <v>239</v>
      </c>
      <c r="E105" s="146" t="s">
        <v>172</v>
      </c>
      <c r="F105" s="146" t="s">
        <v>171</v>
      </c>
      <c r="G105" s="146" t="s">
        <v>849</v>
      </c>
      <c r="H105" s="146" t="s">
        <v>822</v>
      </c>
      <c r="I105" s="146" t="s">
        <v>804</v>
      </c>
    </row>
    <row r="106" spans="2:13" ht="34">
      <c r="B106" s="220" t="s">
        <v>793</v>
      </c>
      <c r="C106" s="218">
        <v>450000000</v>
      </c>
      <c r="D106" s="218">
        <v>355000000</v>
      </c>
      <c r="E106" s="218" t="s">
        <v>784</v>
      </c>
      <c r="F106" s="223">
        <v>2012</v>
      </c>
      <c r="G106" s="153">
        <f>IF('Pat bruto'!E106="ACCIONES",VLOOKUP('Pat bruto'!F106,Sheet1!$B$5:$F$75,2),IF('Pat bruto'!E106="BIENES URBANOS",VLOOKUP('Pat bruto'!F106,Sheet1!$B$5:$F$75,3),IF('Pat bruto'!E106="BIENES RURALES",VLOOKUP('Pat bruto'!F106,Sheet1!$B$5:$F$75,5),IF('Pat bruto'!E106="Bienes Raíces Rurales dedicados a actividades agropecuarias",VLOOKUP('Pat bruto'!F106,Sheet1!$B$5:$F$75,4),0))))</f>
        <v>2.39</v>
      </c>
      <c r="H106" s="141">
        <f>D106*'Pat bruto'!G106</f>
        <v>848450000</v>
      </c>
      <c r="I106" s="141">
        <f>+H106-C106</f>
        <v>398450000</v>
      </c>
      <c r="L106" s="72"/>
      <c r="M106" s="72"/>
    </row>
    <row r="107" spans="2:13">
      <c r="B107" s="220"/>
      <c r="C107" s="218"/>
      <c r="D107" s="218"/>
      <c r="E107" s="218"/>
      <c r="F107" s="223"/>
      <c r="G107" s="153">
        <f>IF('Pat bruto'!E107="ACCIONES",VLOOKUP('Pat bruto'!F107,Sheet1!$B$5:$F$75,2),IF('Pat bruto'!E107="BIENES URBANOS",VLOOKUP('Pat bruto'!F107,Sheet1!$B$5:$F$75,3),IF('Pat bruto'!E107="BIENES RURALES",VLOOKUP('Pat bruto'!F107,Sheet1!$B$5:$F$75,5),IF('Pat bruto'!E107="Bienes Raíces Rurales dedicados a actividades agropecuarias",VLOOKUP('Pat bruto'!F107,Sheet1!$B$5:$F$75,4),0))))</f>
        <v>0</v>
      </c>
      <c r="H107" s="141">
        <f t="shared" ref="H107:H116" si="13">D107*G107</f>
        <v>0</v>
      </c>
      <c r="I107" s="141">
        <f>+H107-C107</f>
        <v>0</v>
      </c>
      <c r="L107" s="72"/>
      <c r="M107" s="72"/>
    </row>
    <row r="108" spans="2:13">
      <c r="B108" s="220"/>
      <c r="C108" s="218"/>
      <c r="D108" s="218"/>
      <c r="E108" s="218"/>
      <c r="F108" s="223"/>
      <c r="G108" s="153">
        <f>IF('Pat bruto'!E108="ACCIONES",VLOOKUP('Pat bruto'!F108,Sheet1!$B$5:$F$75,2),IF('Pat bruto'!E108="BIENES URBANOS",VLOOKUP('Pat bruto'!F108,Sheet1!$B$5:$F$75,3),IF('Pat bruto'!E108="BIENES RURALES",VLOOKUP('Pat bruto'!F108,Sheet1!$B$5:$F$75,5),IF('Pat bruto'!E108="Bienes Raíces Rurales dedicados a actividades agropecuarias",VLOOKUP('Pat bruto'!F108,Sheet1!$B$5:$F$75,4),0))))</f>
        <v>0</v>
      </c>
      <c r="H108" s="141">
        <f t="shared" si="13"/>
        <v>0</v>
      </c>
      <c r="I108" s="141">
        <f t="shared" ref="I108:I116" si="14">+H108-C108</f>
        <v>0</v>
      </c>
      <c r="L108" s="72"/>
    </row>
    <row r="109" spans="2:13">
      <c r="B109" s="220"/>
      <c r="C109" s="218"/>
      <c r="D109" s="218"/>
      <c r="E109" s="218"/>
      <c r="F109" s="223"/>
      <c r="G109" s="153">
        <f>IF('Pat bruto'!E109="ACCIONES",VLOOKUP('Pat bruto'!F109,Sheet1!$B$5:$F$75,2),IF('Pat bruto'!E109="BIENES URBANOS",VLOOKUP('Pat bruto'!F109,Sheet1!$B$5:$F$75,3),IF('Pat bruto'!E109="BIENES RURALES",VLOOKUP('Pat bruto'!F109,Sheet1!$B$5:$F$75,5),IF('Pat bruto'!E109="Bienes Raíces Rurales dedicados a actividades agropecuarias",VLOOKUP('Pat bruto'!F109,Sheet1!$B$5:$F$75,4),0))))</f>
        <v>0</v>
      </c>
      <c r="H109" s="141">
        <f t="shared" si="13"/>
        <v>0</v>
      </c>
      <c r="I109" s="141">
        <f>+H109-C109</f>
        <v>0</v>
      </c>
    </row>
    <row r="110" spans="2:13">
      <c r="B110" s="220"/>
      <c r="C110" s="218"/>
      <c r="D110" s="218"/>
      <c r="E110" s="218"/>
      <c r="F110" s="223"/>
      <c r="G110" s="153">
        <f>IF('Pat bruto'!E110="ACCIONES",VLOOKUP('Pat bruto'!F110,Sheet1!$B$5:$F$75,2),IF('Pat bruto'!E110="BIENES URBANOS",VLOOKUP('Pat bruto'!F110,Sheet1!$B$5:$F$75,3),IF('Pat bruto'!E110="BIENES RURALES",VLOOKUP('Pat bruto'!F110,Sheet1!$B$5:$F$75,5),IF('Pat bruto'!E110="Bienes Raíces Rurales dedicados a actividades agropecuarias",VLOOKUP('Pat bruto'!F110,Sheet1!$B$5:$F$75,4),0))))</f>
        <v>0</v>
      </c>
      <c r="H110" s="141">
        <f t="shared" si="13"/>
        <v>0</v>
      </c>
      <c r="I110" s="141">
        <f t="shared" si="14"/>
        <v>0</v>
      </c>
    </row>
    <row r="111" spans="2:13">
      <c r="B111" s="220"/>
      <c r="C111" s="218"/>
      <c r="D111" s="218"/>
      <c r="E111" s="218"/>
      <c r="F111" s="223"/>
      <c r="G111" s="153">
        <f>IF('Pat bruto'!E111="ACCIONES",VLOOKUP('Pat bruto'!F111,Sheet1!$B$5:$F$75,2),IF('Pat bruto'!E111="BIENES URBANOS",VLOOKUP('Pat bruto'!F111,Sheet1!$B$5:$F$75,3),IF('Pat bruto'!E111="BIENES RURALES",VLOOKUP('Pat bruto'!F111,Sheet1!$B$5:$F$75,5),IF('Pat bruto'!E111="Bienes Raíces Rurales dedicados a actividades agropecuarias",VLOOKUP('Pat bruto'!F111,Sheet1!$B$5:$F$75,4),0))))</f>
        <v>0</v>
      </c>
      <c r="H111" s="141">
        <f t="shared" si="13"/>
        <v>0</v>
      </c>
      <c r="I111" s="141">
        <f t="shared" si="14"/>
        <v>0</v>
      </c>
    </row>
    <row r="112" spans="2:13">
      <c r="B112" s="220"/>
      <c r="C112" s="218"/>
      <c r="D112" s="218"/>
      <c r="E112" s="218"/>
      <c r="F112" s="223"/>
      <c r="G112" s="153">
        <f>IF('Pat bruto'!E112="ACCIONES",VLOOKUP('Pat bruto'!F112,Sheet1!$B$5:$F$75,2),IF('Pat bruto'!E112="BIENES URBANOS",VLOOKUP('Pat bruto'!F112,Sheet1!$B$5:$F$75,3),IF('Pat bruto'!E112="BIENES RURALES",VLOOKUP('Pat bruto'!F112,Sheet1!$B$5:$F$75,5),IF('Pat bruto'!E112="Bienes Raíces Rurales dedicados a actividades agropecuarias",VLOOKUP('Pat bruto'!F112,Sheet1!$B$5:$F$75,4),0))))</f>
        <v>0</v>
      </c>
      <c r="H112" s="141">
        <f t="shared" si="13"/>
        <v>0</v>
      </c>
      <c r="I112" s="141">
        <f t="shared" si="14"/>
        <v>0</v>
      </c>
    </row>
    <row r="113" spans="2:10">
      <c r="B113" s="220"/>
      <c r="C113" s="218"/>
      <c r="D113" s="218"/>
      <c r="E113" s="218"/>
      <c r="F113" s="223"/>
      <c r="G113" s="153">
        <f>IF('Pat bruto'!E113="ACCIONES",VLOOKUP('Pat bruto'!F113,Sheet1!$B$5:$F$75,2),IF('Pat bruto'!E113="BIENES URBANOS",VLOOKUP('Pat bruto'!F113,Sheet1!$B$5:$F$75,3),IF('Pat bruto'!E113="BIENES RURALES",VLOOKUP('Pat bruto'!F113,Sheet1!$B$5:$F$75,5),IF('Pat bruto'!E113="Bienes Raíces Rurales dedicados a actividades agropecuarias",VLOOKUP('Pat bruto'!F113,Sheet1!$B$5:$F$75,4),0))))</f>
        <v>0</v>
      </c>
      <c r="H113" s="141">
        <f t="shared" si="13"/>
        <v>0</v>
      </c>
      <c r="I113" s="141">
        <f t="shared" si="14"/>
        <v>0</v>
      </c>
    </row>
    <row r="114" spans="2:10">
      <c r="B114" s="220"/>
      <c r="C114" s="218"/>
      <c r="D114" s="218"/>
      <c r="E114" s="218"/>
      <c r="F114" s="223"/>
      <c r="G114" s="153">
        <f>IF('Pat bruto'!E114="ACCIONES",VLOOKUP('Pat bruto'!F114,Sheet1!$B$5:$F$75,2),IF('Pat bruto'!E114="BIENES URBANOS",VLOOKUP('Pat bruto'!F114,Sheet1!$B$5:$F$75,3),IF('Pat bruto'!E114="BIENES RURALES",VLOOKUP('Pat bruto'!F114,Sheet1!$B$5:$F$75,5),IF('Pat bruto'!E114="Bienes Raíces Rurales dedicados a actividades agropecuarias",VLOOKUP('Pat bruto'!F114,Sheet1!$B$5:$F$75,4),0))))</f>
        <v>0</v>
      </c>
      <c r="H114" s="141">
        <f t="shared" si="13"/>
        <v>0</v>
      </c>
      <c r="I114" s="141">
        <f t="shared" si="14"/>
        <v>0</v>
      </c>
    </row>
    <row r="115" spans="2:10">
      <c r="B115" s="220"/>
      <c r="C115" s="218"/>
      <c r="D115" s="218"/>
      <c r="E115" s="218"/>
      <c r="F115" s="223"/>
      <c r="G115" s="153">
        <f>IF('Pat bruto'!E115="ACCIONES",VLOOKUP('Pat bruto'!F115,Sheet1!$B$5:$F$75,2),IF('Pat bruto'!E115="BIENES URBANOS",VLOOKUP('Pat bruto'!F115,Sheet1!$B$5:$F$75,3),IF('Pat bruto'!E115="BIENES RURALES",VLOOKUP('Pat bruto'!F115,Sheet1!$B$5:$F$75,5),IF('Pat bruto'!E115="Bienes Raíces Rurales dedicados a actividades agropecuarias",VLOOKUP('Pat bruto'!F115,Sheet1!$B$5:$F$75,4),0))))</f>
        <v>0</v>
      </c>
      <c r="H115" s="141">
        <f t="shared" si="13"/>
        <v>0</v>
      </c>
      <c r="I115" s="141">
        <f t="shared" si="14"/>
        <v>0</v>
      </c>
    </row>
    <row r="116" spans="2:10">
      <c r="B116" s="220"/>
      <c r="C116" s="218"/>
      <c r="D116" s="218"/>
      <c r="E116" s="218"/>
      <c r="F116" s="223"/>
      <c r="G116" s="153">
        <f>IF('Pat bruto'!E116="ACCIONES",VLOOKUP('Pat bruto'!F116,Sheet1!$B$5:$F$75,2),IF('Pat bruto'!E116="BIENES URBANOS",VLOOKUP('Pat bruto'!F116,Sheet1!$B$5:$F$75,3),IF('Pat bruto'!E116="BIENES RURALES",VLOOKUP('Pat bruto'!F116,Sheet1!$B$5:$F$75,5),IF('Pat bruto'!E116="Bienes Raíces Rurales dedicados a actividades agropecuarias",VLOOKUP('Pat bruto'!F116,Sheet1!$B$5:$F$75,4),0))))</f>
        <v>0</v>
      </c>
      <c r="H116" s="141">
        <f t="shared" si="13"/>
        <v>0</v>
      </c>
      <c r="I116" s="141">
        <f t="shared" si="14"/>
        <v>0</v>
      </c>
    </row>
    <row r="117" spans="2:10" ht="15.75" customHeight="1">
      <c r="B117" s="239" t="s">
        <v>552</v>
      </c>
      <c r="C117" s="240"/>
      <c r="D117" s="240"/>
      <c r="E117" s="240"/>
      <c r="F117" s="240"/>
      <c r="G117" s="240"/>
      <c r="H117" s="154">
        <f>SUM(H106:H116)</f>
        <v>848450000</v>
      </c>
      <c r="I117" s="154">
        <f>SUM(I106:I116)</f>
        <v>398450000</v>
      </c>
    </row>
    <row r="118" spans="2:10">
      <c r="B118" s="150"/>
      <c r="C118" s="144"/>
      <c r="D118" s="49"/>
      <c r="E118" s="49"/>
      <c r="F118" s="49"/>
      <c r="G118" s="151"/>
      <c r="H118" s="152"/>
      <c r="I118" s="49"/>
      <c r="J118" s="49"/>
    </row>
    <row r="119" spans="2:10" ht="16" customHeight="1">
      <c r="B119" s="648" t="s">
        <v>113</v>
      </c>
      <c r="C119" s="649"/>
      <c r="D119" s="649"/>
      <c r="E119" s="649"/>
      <c r="F119" s="650"/>
      <c r="G119" s="142">
        <f>ROUND((H117+I101+G79+D58+D29),-3)</f>
        <v>4540790000</v>
      </c>
      <c r="H119" s="142">
        <f>(I117+J101+H79)</f>
        <v>448450000</v>
      </c>
      <c r="J119" s="49"/>
    </row>
    <row r="120" spans="2:10">
      <c r="I120" s="49"/>
    </row>
    <row r="121" spans="2:10">
      <c r="B121" s="666" t="s">
        <v>68</v>
      </c>
      <c r="C121" s="667"/>
      <c r="D121" s="156">
        <v>5.8099999999999999E-2</v>
      </c>
      <c r="E121" s="73"/>
      <c r="F121" s="73"/>
    </row>
    <row r="122" spans="2:10">
      <c r="B122" s="71"/>
      <c r="C122" s="71"/>
      <c r="D122" s="74"/>
      <c r="E122" s="74"/>
      <c r="F122" s="73"/>
      <c r="G122" s="73"/>
    </row>
  </sheetData>
  <mergeCells count="63">
    <mergeCell ref="B11:C11"/>
    <mergeCell ref="B5:C5"/>
    <mergeCell ref="B6:C6"/>
    <mergeCell ref="B7:C7"/>
    <mergeCell ref="B8:C8"/>
    <mergeCell ref="B10:C10"/>
    <mergeCell ref="B9:C9"/>
    <mergeCell ref="B121:C121"/>
    <mergeCell ref="B56:C56"/>
    <mergeCell ref="B33:C33"/>
    <mergeCell ref="B101:H101"/>
    <mergeCell ref="B53:C53"/>
    <mergeCell ref="B79:F79"/>
    <mergeCell ref="B54:C54"/>
    <mergeCell ref="B55:C55"/>
    <mergeCell ref="B49:C49"/>
    <mergeCell ref="B82:J82"/>
    <mergeCell ref="B57:C57"/>
    <mergeCell ref="B61:H61"/>
    <mergeCell ref="B58:C58"/>
    <mergeCell ref="B39:C39"/>
    <mergeCell ref="B40:C40"/>
    <mergeCell ref="B41:C41"/>
    <mergeCell ref="B2:J2"/>
    <mergeCell ref="B4:C4"/>
    <mergeCell ref="B23:C23"/>
    <mergeCell ref="B24:C24"/>
    <mergeCell ref="B27:C27"/>
    <mergeCell ref="B13:C13"/>
    <mergeCell ref="B14:C14"/>
    <mergeCell ref="B15:C15"/>
    <mergeCell ref="B16:C16"/>
    <mergeCell ref="B17:C17"/>
    <mergeCell ref="B18:C18"/>
    <mergeCell ref="B19:C19"/>
    <mergeCell ref="B20:C20"/>
    <mergeCell ref="B21:C21"/>
    <mergeCell ref="B22:C22"/>
    <mergeCell ref="B12:C12"/>
    <mergeCell ref="B29:C29"/>
    <mergeCell ref="B25:C25"/>
    <mergeCell ref="B26:C26"/>
    <mergeCell ref="B28:C28"/>
    <mergeCell ref="B48:C48"/>
    <mergeCell ref="B32:C32"/>
    <mergeCell ref="B34:C34"/>
    <mergeCell ref="B35:C35"/>
    <mergeCell ref="B36:C36"/>
    <mergeCell ref="B37:C37"/>
    <mergeCell ref="B38:C38"/>
    <mergeCell ref="B42:C42"/>
    <mergeCell ref="B43:C43"/>
    <mergeCell ref="B119:F119"/>
    <mergeCell ref="B104:I104"/>
    <mergeCell ref="B44:C44"/>
    <mergeCell ref="B45:C45"/>
    <mergeCell ref="B46:C46"/>
    <mergeCell ref="B47:C47"/>
    <mergeCell ref="B50:C50"/>
    <mergeCell ref="B51:C51"/>
    <mergeCell ref="B52:C52"/>
    <mergeCell ref="B81:H81"/>
    <mergeCell ref="B103:F103"/>
  </mergeCells>
  <dataValidations count="2">
    <dataValidation type="list" allowBlank="1" showInputMessage="1" showErrorMessage="1" sqref="C84:C100 C63:C78" xr:uid="{00000000-0002-0000-0400-000001000000}">
      <formula1>"Si,No"</formula1>
    </dataValidation>
    <dataValidation type="list" allowBlank="1" showInputMessage="1" showErrorMessage="1" sqref="E106:E116" xr:uid="{7F2D4C11-D40D-614D-9236-5F75A27A12BE}">
      <formula1>"ACCIONES,BIENES URBANOS,BIENES RURALES,Bienes Raíces Rurales dedicados a actividades agropecuarias"</formula1>
    </dataValidation>
  </dataValidations>
  <hyperlinks>
    <hyperlink ref="B2:J2" location="'FORMULARIO 210'!L14" display=" PATRIMONIO BRUTO (Renglón 29)" xr:uid="{00000000-0004-0000-0400-000000000000}"/>
  </hyperlinks>
  <pageMargins left="0.7" right="0.7" top="0.75" bottom="0.75" header="0.3" footer="0.3"/>
  <pageSetup scale="45"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5FE584E-8D09-4149-A4BB-0ED8FD61AD88}">
          <x14:formula1>
            <xm:f>Sheet1!$B$6:$B$75</xm:f>
          </x14:formula1>
          <xm:sqref>F106:F116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1960-FB08-E848-8011-EA1C2FE5FDC6}">
  <sheetPr>
    <tabColor rgb="FF0070C0"/>
  </sheetPr>
  <dimension ref="A1"/>
  <sheetViews>
    <sheetView workbookViewId="0">
      <selection activeCell="H32" sqref="H32"/>
    </sheetView>
  </sheetViews>
  <sheetFormatPr baseColWidth="10"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tabColor rgb="FFFF0000"/>
  </sheetPr>
  <dimension ref="B2:AT116"/>
  <sheetViews>
    <sheetView topLeftCell="C65" zoomScale="131" workbookViewId="0">
      <selection activeCell="K18" sqref="K18"/>
    </sheetView>
  </sheetViews>
  <sheetFormatPr baseColWidth="10" defaultRowHeight="15"/>
  <cols>
    <col min="1" max="1" width="4.6640625" customWidth="1"/>
    <col min="2" max="2" width="20.1640625" bestFit="1" customWidth="1"/>
    <col min="3" max="3" width="18.33203125" bestFit="1" customWidth="1"/>
    <col min="4" max="4" width="18.33203125" customWidth="1"/>
    <col min="5" max="5" width="26.6640625" customWidth="1"/>
    <col min="6" max="6" width="13" customWidth="1"/>
    <col min="7" max="7" width="5.1640625" bestFit="1" customWidth="1"/>
    <col min="8" max="8" width="27.5" customWidth="1"/>
    <col min="9" max="9" width="13.1640625" customWidth="1"/>
    <col min="10" max="10" width="14.5" bestFit="1" customWidth="1"/>
    <col min="11" max="11" width="13.5" customWidth="1"/>
    <col min="12" max="12" width="4.5" bestFit="1" customWidth="1"/>
    <col min="13" max="13" width="2" bestFit="1" customWidth="1"/>
    <col min="14" max="14" width="5.1640625" bestFit="1" customWidth="1"/>
    <col min="15" max="15" width="4.5" bestFit="1" customWidth="1"/>
    <col min="17" max="17" width="19.5" customWidth="1"/>
    <col min="18" max="18" width="14.33203125" customWidth="1"/>
    <col min="20" max="20" width="16.5" customWidth="1"/>
    <col min="21" max="21" width="16.1640625" customWidth="1"/>
    <col min="22" max="22" width="15" customWidth="1"/>
    <col min="23" max="23" width="13.1640625" customWidth="1"/>
    <col min="28" max="29" width="14.5" bestFit="1" customWidth="1"/>
    <col min="30" max="30" width="12.5" customWidth="1"/>
    <col min="31" max="31" width="46.5" customWidth="1"/>
    <col min="33" max="33" width="12" bestFit="1" customWidth="1"/>
  </cols>
  <sheetData>
    <row r="2" spans="2:30">
      <c r="E2" t="s">
        <v>176</v>
      </c>
      <c r="F2" s="46">
        <f>'R.trabajo y honorarios'!H74</f>
        <v>49799</v>
      </c>
    </row>
    <row r="3" spans="2:30">
      <c r="C3" s="46" t="e">
        <f>#REF!</f>
        <v>#REF!</v>
      </c>
      <c r="D3" s="46"/>
    </row>
    <row r="4" spans="2:30" ht="16" thickBot="1"/>
    <row r="5" spans="2:30" ht="48" customHeight="1">
      <c r="B5" s="430" t="s">
        <v>548</v>
      </c>
      <c r="C5" s="430" t="s">
        <v>549</v>
      </c>
      <c r="D5" s="430" t="s">
        <v>550</v>
      </c>
      <c r="E5" s="430" t="s">
        <v>844</v>
      </c>
      <c r="F5" s="430" t="s">
        <v>843</v>
      </c>
      <c r="I5" s="99">
        <f>42412*L7</f>
        <v>14844200</v>
      </c>
      <c r="R5" s="676" t="s">
        <v>186</v>
      </c>
      <c r="S5" s="676"/>
      <c r="U5" s="52" t="s">
        <v>183</v>
      </c>
    </row>
    <row r="6" spans="2:30" ht="15" customHeight="1">
      <c r="B6" s="24" t="s">
        <v>484</v>
      </c>
      <c r="C6" s="431">
        <v>4664.6400000000003</v>
      </c>
      <c r="D6" s="431">
        <v>36085.1</v>
      </c>
      <c r="E6" s="432">
        <v>34963.67</v>
      </c>
      <c r="F6" s="431">
        <v>35631.919999999998</v>
      </c>
      <c r="H6" s="675" t="s">
        <v>179</v>
      </c>
      <c r="I6" s="675"/>
      <c r="J6" s="675"/>
      <c r="K6" s="675"/>
      <c r="L6" s="675"/>
      <c r="M6" s="675"/>
      <c r="N6" s="675"/>
      <c r="O6" s="675"/>
      <c r="P6" s="675"/>
      <c r="R6" s="234" t="s">
        <v>181</v>
      </c>
      <c r="S6" s="234">
        <f>'R.trabajo y honorarios'!H74*3800</f>
        <v>189236200</v>
      </c>
      <c r="U6" s="53">
        <f>240*12</f>
        <v>2880</v>
      </c>
    </row>
    <row r="7" spans="2:30" ht="15" customHeight="1" thickBot="1">
      <c r="B7" s="433">
        <v>1956</v>
      </c>
      <c r="C7" s="431">
        <v>4571.26</v>
      </c>
      <c r="D7" s="431">
        <v>35363.86</v>
      </c>
      <c r="E7" s="432">
        <v>34264.839999999997</v>
      </c>
      <c r="F7" s="431">
        <v>34919.74</v>
      </c>
      <c r="H7" s="47" t="s">
        <v>174</v>
      </c>
      <c r="I7" s="48">
        <f>L7*'R.trabajo y honorarios'!$H$74</f>
        <v>17429650</v>
      </c>
      <c r="J7" s="47" t="s">
        <v>175</v>
      </c>
      <c r="K7" s="48">
        <f>O7*'R.trabajo y honorarios'!$H$74</f>
        <v>20417590</v>
      </c>
      <c r="L7" s="47">
        <v>350</v>
      </c>
      <c r="M7" s="47" t="s">
        <v>176</v>
      </c>
      <c r="N7" s="47" t="s">
        <v>175</v>
      </c>
      <c r="O7" s="47">
        <v>410</v>
      </c>
      <c r="P7" s="50">
        <v>0.9</v>
      </c>
      <c r="R7" s="234" t="s">
        <v>182</v>
      </c>
      <c r="S7" s="234">
        <f>'R.trabajo y honorarios'!H4*30%</f>
        <v>78099900</v>
      </c>
      <c r="U7" s="54">
        <f>U6*'R.trabajo y honorarios'!H74</f>
        <v>143421120</v>
      </c>
    </row>
    <row r="8" spans="2:30" ht="16">
      <c r="B8" s="433">
        <v>1957</v>
      </c>
      <c r="C8" s="431">
        <v>4232.67</v>
      </c>
      <c r="D8" s="431">
        <v>32744.71</v>
      </c>
      <c r="E8" s="432">
        <v>31727.09</v>
      </c>
      <c r="F8" s="431">
        <v>32333.48</v>
      </c>
      <c r="H8" s="47" t="s">
        <v>174</v>
      </c>
      <c r="I8" s="48">
        <f>L8*'R.trabajo y honorarios'!$H$74</f>
        <v>20417590</v>
      </c>
      <c r="J8" s="47" t="s">
        <v>175</v>
      </c>
      <c r="K8" s="48">
        <f>O8*'R.trabajo y honorarios'!$H$74</f>
        <v>23405530</v>
      </c>
      <c r="L8" s="47">
        <v>410</v>
      </c>
      <c r="M8" s="47" t="s">
        <v>176</v>
      </c>
      <c r="N8" s="47" t="s">
        <v>175</v>
      </c>
      <c r="O8" s="47">
        <v>470</v>
      </c>
      <c r="P8" s="50">
        <v>0.8</v>
      </c>
      <c r="R8" s="47" t="s">
        <v>397</v>
      </c>
      <c r="S8" s="48">
        <f>'R.trabajo y honorarios'!F50+'R.trabajo y honorarios'!F51</f>
        <v>22000000</v>
      </c>
    </row>
    <row r="9" spans="2:30" ht="16">
      <c r="B9" s="433">
        <v>1958</v>
      </c>
      <c r="C9" s="431">
        <v>3571.2</v>
      </c>
      <c r="D9" s="431">
        <v>27626.91</v>
      </c>
      <c r="E9" s="432">
        <v>26768.34</v>
      </c>
      <c r="F9" s="431">
        <v>27279.95</v>
      </c>
      <c r="H9" s="47" t="s">
        <v>174</v>
      </c>
      <c r="I9" s="48">
        <f>L9*'R.trabajo y honorarios'!$H$74</f>
        <v>23405530</v>
      </c>
      <c r="J9" s="47" t="s">
        <v>175</v>
      </c>
      <c r="K9" s="48">
        <f>O9*'R.trabajo y honorarios'!$H$74</f>
        <v>26393470</v>
      </c>
      <c r="L9" s="47">
        <v>470</v>
      </c>
      <c r="M9" s="47" t="s">
        <v>176</v>
      </c>
      <c r="N9" s="47" t="s">
        <v>175</v>
      </c>
      <c r="O9" s="47">
        <v>530</v>
      </c>
      <c r="P9" s="50">
        <v>0.6</v>
      </c>
      <c r="R9" s="47" t="s">
        <v>398</v>
      </c>
      <c r="S9" s="48">
        <f>MIN(S6:S8)</f>
        <v>22000000</v>
      </c>
    </row>
    <row r="10" spans="2:30" ht="16">
      <c r="B10" s="433">
        <v>1959</v>
      </c>
      <c r="C10" s="431">
        <v>3264.9</v>
      </c>
      <c r="D10" s="431">
        <v>25257.62</v>
      </c>
      <c r="E10" s="432">
        <v>24472.68</v>
      </c>
      <c r="F10" s="431">
        <v>24940.42</v>
      </c>
      <c r="H10" s="47" t="s">
        <v>174</v>
      </c>
      <c r="I10" s="48">
        <f>L10*'R.trabajo y honorarios'!$H$74</f>
        <v>26393470</v>
      </c>
      <c r="J10" s="47" t="s">
        <v>175</v>
      </c>
      <c r="K10" s="48">
        <f>O10*'R.trabajo y honorarios'!$H$74</f>
        <v>29381410</v>
      </c>
      <c r="L10" s="47">
        <v>530</v>
      </c>
      <c r="M10" s="47" t="s">
        <v>176</v>
      </c>
      <c r="N10" s="47" t="s">
        <v>175</v>
      </c>
      <c r="O10" s="47">
        <v>590</v>
      </c>
      <c r="P10" s="50">
        <v>0.4</v>
      </c>
      <c r="U10" s="679" t="s">
        <v>328</v>
      </c>
      <c r="V10" s="679"/>
      <c r="W10" s="679"/>
      <c r="X10" s="679"/>
    </row>
    <row r="11" spans="2:30" ht="16">
      <c r="B11" s="433">
        <v>1960</v>
      </c>
      <c r="C11" s="431">
        <v>3047.31</v>
      </c>
      <c r="D11" s="431">
        <v>23574.13</v>
      </c>
      <c r="E11" s="432">
        <v>22841.51</v>
      </c>
      <c r="F11" s="431">
        <v>23278.07</v>
      </c>
      <c r="H11" s="51" t="s">
        <v>174</v>
      </c>
      <c r="I11" s="48">
        <f>L11*'R.trabajo y honorarios'!$H$74</f>
        <v>29381410</v>
      </c>
      <c r="J11" s="47" t="s">
        <v>175</v>
      </c>
      <c r="K11" s="48">
        <f>O11*'R.trabajo y honorarios'!$H$74</f>
        <v>32369350</v>
      </c>
      <c r="L11" s="47">
        <v>590</v>
      </c>
      <c r="M11" s="47" t="s">
        <v>176</v>
      </c>
      <c r="N11" s="47" t="s">
        <v>175</v>
      </c>
      <c r="O11" s="47">
        <v>650</v>
      </c>
      <c r="P11" s="50">
        <v>0.2</v>
      </c>
      <c r="U11" s="47" t="s">
        <v>221</v>
      </c>
      <c r="V11" s="47" t="s">
        <v>327</v>
      </c>
      <c r="W11" s="47" t="s">
        <v>222</v>
      </c>
      <c r="X11" s="47" t="s">
        <v>223</v>
      </c>
      <c r="Y11" s="237" t="s">
        <v>329</v>
      </c>
    </row>
    <row r="12" spans="2:30" ht="16">
      <c r="B12" s="433">
        <v>1961</v>
      </c>
      <c r="C12" s="431">
        <v>2856.78</v>
      </c>
      <c r="D12" s="431">
        <v>21981.02</v>
      </c>
      <c r="E12" s="432">
        <v>21297.91</v>
      </c>
      <c r="F12" s="431">
        <v>21704.97</v>
      </c>
      <c r="H12" s="51" t="s">
        <v>178</v>
      </c>
      <c r="I12" s="48">
        <f>L12*'R.trabajo y honorarios'!$H$74</f>
        <v>32419149</v>
      </c>
      <c r="J12" s="47" t="s">
        <v>177</v>
      </c>
      <c r="K12" s="48">
        <f>O12*'R.trabajo y honorarios'!$H$74</f>
        <v>497940201</v>
      </c>
      <c r="L12" s="47">
        <v>651</v>
      </c>
      <c r="M12" s="47" t="s">
        <v>176</v>
      </c>
      <c r="N12" s="47" t="s">
        <v>175</v>
      </c>
      <c r="O12" s="47">
        <v>9999</v>
      </c>
      <c r="P12" s="50">
        <v>0</v>
      </c>
      <c r="R12" t="s">
        <v>396</v>
      </c>
      <c r="S12" s="46">
        <f>S6-S9</f>
        <v>167236200</v>
      </c>
      <c r="T12" t="s">
        <v>182</v>
      </c>
      <c r="U12" s="3">
        <f>'R.trabajo y honorarios'!H4*25%</f>
        <v>65083250</v>
      </c>
      <c r="V12" s="3">
        <f>'R.trabajo y honorarios'!L4*25%</f>
        <v>47500000</v>
      </c>
      <c r="W12" s="3">
        <f>'R.capital'!G2*25%</f>
        <v>27355250</v>
      </c>
      <c r="X12" s="3">
        <f>'R.no laboral y R gravables'!G3*25%</f>
        <v>80500000</v>
      </c>
      <c r="AD12" s="46"/>
    </row>
    <row r="13" spans="2:30" ht="16">
      <c r="B13" s="433">
        <v>1962</v>
      </c>
      <c r="C13" s="431">
        <v>2688.94</v>
      </c>
      <c r="D13" s="431">
        <v>20800.810000000001</v>
      </c>
      <c r="E13" s="432">
        <v>20154.38</v>
      </c>
      <c r="F13" s="431">
        <v>20539.580000000002</v>
      </c>
      <c r="R13" s="676" t="s">
        <v>400</v>
      </c>
      <c r="S13" s="676"/>
      <c r="T13" t="s">
        <v>392</v>
      </c>
      <c r="U13" s="3">
        <f>'R.trabajo y honorarios'!H74*2500</f>
        <v>124497500</v>
      </c>
      <c r="V13" s="3">
        <f>U13</f>
        <v>124497500</v>
      </c>
      <c r="W13" s="3">
        <f>U13</f>
        <v>124497500</v>
      </c>
      <c r="X13" s="3">
        <f>W13</f>
        <v>124497500</v>
      </c>
      <c r="AD13" s="55"/>
    </row>
    <row r="14" spans="2:30" ht="16">
      <c r="B14" s="433">
        <v>1963</v>
      </c>
      <c r="C14" s="431">
        <v>2511.5</v>
      </c>
      <c r="D14" s="431">
        <v>19429.21</v>
      </c>
      <c r="E14" s="432">
        <v>18825.400000000001</v>
      </c>
      <c r="F14" s="431">
        <v>19185.21</v>
      </c>
      <c r="I14" t="s">
        <v>180</v>
      </c>
      <c r="K14" s="55">
        <f>'R.trabajo y honorarios'!H3</f>
        <v>13333333.333333334</v>
      </c>
      <c r="R14" s="234" t="s">
        <v>181</v>
      </c>
      <c r="S14" s="234">
        <f>S6</f>
        <v>189236200</v>
      </c>
      <c r="T14" t="s">
        <v>393</v>
      </c>
      <c r="U14" s="46">
        <f>'R.trabajo y honorarios'!F24</f>
        <v>0</v>
      </c>
      <c r="V14" s="46">
        <f>'R.trabajo y honorarios'!J24</f>
        <v>0</v>
      </c>
      <c r="W14" s="46">
        <f>'R.capital'!E40</f>
        <v>0</v>
      </c>
      <c r="X14" s="46">
        <f>'R.no laboral y R gravables'!E24</f>
        <v>0</v>
      </c>
      <c r="AD14" s="63"/>
    </row>
    <row r="15" spans="2:30" ht="16">
      <c r="B15" s="433">
        <v>1964</v>
      </c>
      <c r="C15" s="431">
        <v>1920.42</v>
      </c>
      <c r="D15" s="431">
        <v>14857.22</v>
      </c>
      <c r="E15" s="432">
        <v>14395.49</v>
      </c>
      <c r="F15" s="431">
        <v>14670.63</v>
      </c>
      <c r="I15" t="s">
        <v>123</v>
      </c>
      <c r="K15" s="99">
        <f>'R.trabajo y honorarios'!F52+'R.trabajo y honorarios'!F53+'R.trabajo y honorarios'!F54</f>
        <v>20333333.333333336</v>
      </c>
      <c r="R15" s="234" t="s">
        <v>182</v>
      </c>
      <c r="S15" s="234">
        <f>'R.trabajo y honorarios'!L4*30%</f>
        <v>57000000</v>
      </c>
      <c r="U15" s="236">
        <f>MIN(U12,U13,U14)</f>
        <v>0</v>
      </c>
      <c r="V15" s="236">
        <f>MIN(V12,V13,V14)</f>
        <v>0</v>
      </c>
      <c r="W15" s="236">
        <f>MIN(W12,W13,W14)</f>
        <v>0</v>
      </c>
      <c r="X15" s="236">
        <f>MIN(X12,X13,X14)</f>
        <v>0</v>
      </c>
    </row>
    <row r="16" spans="2:30" ht="16">
      <c r="B16" s="433">
        <v>1965</v>
      </c>
      <c r="C16" s="431">
        <v>1758.11</v>
      </c>
      <c r="D16" s="431">
        <v>13600.8</v>
      </c>
      <c r="E16" s="432">
        <v>13178.13</v>
      </c>
      <c r="F16" s="431">
        <v>13429.99</v>
      </c>
      <c r="K16" s="99">
        <f>K15*P8</f>
        <v>16266666.66666667</v>
      </c>
      <c r="R16" t="s">
        <v>397</v>
      </c>
      <c r="S16" s="46">
        <f>'R.trabajo y honorarios'!J50+'R.trabajo y honorarios'!J51</f>
        <v>0</v>
      </c>
      <c r="T16" t="s">
        <v>395</v>
      </c>
      <c r="U16" s="46">
        <f>U13-U15</f>
        <v>124497500</v>
      </c>
      <c r="V16" s="260"/>
    </row>
    <row r="17" spans="2:34" ht="16">
      <c r="B17" s="433">
        <v>1966</v>
      </c>
      <c r="C17" s="431">
        <v>1533.84</v>
      </c>
      <c r="D17" s="431">
        <v>11865.93</v>
      </c>
      <c r="E17" s="432">
        <v>11497.16</v>
      </c>
      <c r="F17" s="431">
        <v>11716.9</v>
      </c>
      <c r="K17" s="99"/>
      <c r="R17" s="47" t="s">
        <v>398</v>
      </c>
      <c r="S17" s="46">
        <f>MIN(S14:S16)</f>
        <v>0</v>
      </c>
      <c r="T17" t="s">
        <v>394</v>
      </c>
      <c r="V17" s="46">
        <f>MIN(U16,V15)</f>
        <v>0</v>
      </c>
    </row>
    <row r="18" spans="2:34" ht="15" customHeight="1">
      <c r="B18" s="433">
        <v>1967</v>
      </c>
      <c r="C18" s="431">
        <v>1352.33</v>
      </c>
      <c r="D18" s="431">
        <v>10462.43</v>
      </c>
      <c r="E18" s="432">
        <v>10137.280000000001</v>
      </c>
      <c r="F18" s="431">
        <v>10331.030000000001</v>
      </c>
      <c r="I18" s="46" t="str">
        <f>'R.trabajo y honorarios'!C52</f>
        <v>Cesantías consignadas</v>
      </c>
      <c r="J18" s="46"/>
      <c r="K18" s="99">
        <f>'R.trabajo y honorarios'!F52</f>
        <v>13333333.333333334</v>
      </c>
      <c r="L18" s="98">
        <f>K18/$K$21</f>
        <v>0.65573770491803274</v>
      </c>
      <c r="R18" t="s">
        <v>399</v>
      </c>
      <c r="S18" s="46">
        <f>MIN(S12,S17)</f>
        <v>0</v>
      </c>
      <c r="V18" s="99"/>
    </row>
    <row r="19" spans="2:34" ht="16">
      <c r="B19" s="433">
        <v>1968</v>
      </c>
      <c r="C19" s="431">
        <v>1255.75</v>
      </c>
      <c r="D19" s="431">
        <v>9714.61</v>
      </c>
      <c r="E19" s="432">
        <v>9412.7000000000007</v>
      </c>
      <c r="F19" s="431">
        <v>9592.6</v>
      </c>
      <c r="I19" s="46" t="str">
        <f>'R.trabajo y honorarios'!C53</f>
        <v>Intereses sobre cesantías</v>
      </c>
      <c r="K19" s="99">
        <f>'R.trabajo y honorarios'!F53</f>
        <v>7000000</v>
      </c>
      <c r="L19" s="98">
        <f>K19/$K$21</f>
        <v>0.34426229508196715</v>
      </c>
      <c r="U19" s="680"/>
    </row>
    <row r="20" spans="2:34" ht="17" thickBot="1">
      <c r="B20" s="433">
        <v>1969</v>
      </c>
      <c r="C20" s="431">
        <v>1178.0899999999999</v>
      </c>
      <c r="D20" s="431">
        <v>9113.8700000000008</v>
      </c>
      <c r="E20" s="432">
        <v>8830.6299999999992</v>
      </c>
      <c r="F20" s="431">
        <v>8999.41</v>
      </c>
      <c r="I20" s="46" t="str">
        <f>'R.trabajo y honorarios'!C54</f>
        <v>Retiro de cesantias antes del año 2016 (Ley 1819 del 2016) No limitada</v>
      </c>
      <c r="K20" s="99">
        <f>'R.trabajo y honorarios'!F54</f>
        <v>0</v>
      </c>
      <c r="L20" s="98">
        <f>K20/$K$21</f>
        <v>0</v>
      </c>
      <c r="R20" s="676" t="s">
        <v>187</v>
      </c>
      <c r="S20" s="676"/>
      <c r="U20" s="681"/>
    </row>
    <row r="21" spans="2:34" ht="16">
      <c r="B21" s="433">
        <v>1970</v>
      </c>
      <c r="C21" s="431">
        <v>1083.26</v>
      </c>
      <c r="D21" s="431">
        <v>8380.2199999999993</v>
      </c>
      <c r="E21" s="432">
        <v>8119.79</v>
      </c>
      <c r="F21" s="431">
        <v>8274.98</v>
      </c>
      <c r="I21" t="s">
        <v>227</v>
      </c>
      <c r="K21" s="99">
        <f>SUM(K18:K20)</f>
        <v>20333333.333333336</v>
      </c>
      <c r="R21" s="234" t="s">
        <v>181</v>
      </c>
      <c r="S21" s="234">
        <f>S14</f>
        <v>189236200</v>
      </c>
      <c r="AA21" s="688" t="s">
        <v>193</v>
      </c>
      <c r="AB21" s="689"/>
      <c r="AC21" s="689" t="s">
        <v>193</v>
      </c>
      <c r="AD21" s="689"/>
      <c r="AE21" s="684" t="s">
        <v>194</v>
      </c>
      <c r="AF21" s="684" t="s">
        <v>195</v>
      </c>
      <c r="AG21" s="684" t="s">
        <v>206</v>
      </c>
      <c r="AH21" s="686" t="s">
        <v>196</v>
      </c>
    </row>
    <row r="22" spans="2:34" ht="16">
      <c r="B22" s="433">
        <v>1971</v>
      </c>
      <c r="C22" s="431">
        <v>1011.41</v>
      </c>
      <c r="D22" s="431">
        <v>7823.78</v>
      </c>
      <c r="E22" s="432">
        <v>7580.64</v>
      </c>
      <c r="F22" s="431">
        <v>7725.53</v>
      </c>
      <c r="K22" s="99"/>
      <c r="R22" s="234" t="s">
        <v>182</v>
      </c>
      <c r="S22" s="234">
        <f>'R.capital'!G2*30%</f>
        <v>32826300</v>
      </c>
      <c r="AA22" s="57" t="s">
        <v>197</v>
      </c>
      <c r="AB22" s="58" t="s">
        <v>197</v>
      </c>
      <c r="AC22" s="58" t="s">
        <v>198</v>
      </c>
      <c r="AD22" s="58"/>
      <c r="AE22" s="685"/>
      <c r="AF22" s="685"/>
      <c r="AG22" s="685"/>
      <c r="AH22" s="687"/>
    </row>
    <row r="23" spans="2:34" ht="16">
      <c r="B23" s="433">
        <v>1972</v>
      </c>
      <c r="C23" s="24">
        <v>896.22</v>
      </c>
      <c r="D23" s="431">
        <v>6934.19</v>
      </c>
      <c r="E23" s="432">
        <v>6718.7</v>
      </c>
      <c r="F23" s="431">
        <v>6847.11</v>
      </c>
      <c r="I23" t="s">
        <v>228</v>
      </c>
      <c r="K23" s="133">
        <f>'R.trabajo y honorarios'!G52</f>
        <v>20333333.333333336</v>
      </c>
      <c r="R23" t="s">
        <v>397</v>
      </c>
      <c r="S23" s="46">
        <f>'R.capital'!E53+'R.capital'!E54</f>
        <v>0</v>
      </c>
      <c r="AA23" s="59">
        <v>0</v>
      </c>
      <c r="AB23" s="59">
        <v>1090</v>
      </c>
      <c r="AC23" s="59">
        <f>AA23*Sheet1!$F$2</f>
        <v>0</v>
      </c>
      <c r="AD23" s="59">
        <f>AB23*Sheet1!$F$2</f>
        <v>54280910</v>
      </c>
      <c r="AE23" s="60">
        <v>0</v>
      </c>
      <c r="AF23" s="47">
        <v>0</v>
      </c>
      <c r="AG23" s="62" t="e">
        <f>#REF!</f>
        <v>#REF!</v>
      </c>
      <c r="AH23" s="59">
        <v>0</v>
      </c>
    </row>
    <row r="24" spans="2:34" ht="16">
      <c r="B24" s="433">
        <v>1973</v>
      </c>
      <c r="C24" s="24">
        <v>788.01</v>
      </c>
      <c r="D24" s="431">
        <v>6097.77</v>
      </c>
      <c r="E24" s="432">
        <v>5908.26</v>
      </c>
      <c r="F24" s="431">
        <v>6021.19</v>
      </c>
      <c r="I24" s="46" t="str">
        <f>I18</f>
        <v>Cesantías consignadas</v>
      </c>
      <c r="K24" s="364">
        <f>L18*$K$23</f>
        <v>13333333.333333334</v>
      </c>
      <c r="R24" t="s">
        <v>401</v>
      </c>
      <c r="S24" s="46">
        <f>MIN(S21:S23)</f>
        <v>0</v>
      </c>
      <c r="AA24" s="59">
        <f t="shared" ref="AA24:AA29" si="0">AB23+1</f>
        <v>1091</v>
      </c>
      <c r="AB24" s="59">
        <v>1700</v>
      </c>
      <c r="AC24" s="59">
        <f>AA24*Sheet1!$F$2</f>
        <v>54330709</v>
      </c>
      <c r="AD24" s="59">
        <f>AB24*Sheet1!$F$2</f>
        <v>84658300</v>
      </c>
      <c r="AE24" s="60">
        <v>0.19</v>
      </c>
      <c r="AF24" s="47" t="s">
        <v>199</v>
      </c>
      <c r="AG24" s="62" t="e">
        <f>#REF!</f>
        <v>#REF!</v>
      </c>
      <c r="AH24" s="59" t="e">
        <f>(((AG24/Sheet1!$F$2)-1090)*19%)*Sheet1!AE11</f>
        <v>#REF!</v>
      </c>
    </row>
    <row r="25" spans="2:34" ht="16">
      <c r="B25" s="433">
        <v>1974</v>
      </c>
      <c r="C25" s="24">
        <v>643.73</v>
      </c>
      <c r="D25" s="431">
        <v>4981.3500000000004</v>
      </c>
      <c r="E25" s="432">
        <v>4826.54</v>
      </c>
      <c r="F25" s="431">
        <v>4918.79</v>
      </c>
      <c r="I25" s="46" t="str">
        <f t="shared" ref="I25:I26" si="1">I19</f>
        <v>Intereses sobre cesantías</v>
      </c>
      <c r="K25" s="134">
        <f>L19*$K$23</f>
        <v>7000000</v>
      </c>
      <c r="AA25" s="59">
        <f t="shared" si="0"/>
        <v>1701</v>
      </c>
      <c r="AB25" s="59">
        <v>4100</v>
      </c>
      <c r="AC25" s="59">
        <f>AA25*Sheet1!$F$2</f>
        <v>84708099</v>
      </c>
      <c r="AD25" s="59">
        <f>AB25*Sheet1!$F$2</f>
        <v>204175900</v>
      </c>
      <c r="AE25" s="60">
        <v>0.28000000000000003</v>
      </c>
      <c r="AF25" s="47" t="s">
        <v>200</v>
      </c>
      <c r="AG25" s="62" t="e">
        <f>#REF!</f>
        <v>#REF!</v>
      </c>
      <c r="AH25" s="59" t="e">
        <f>((((AG25/Sheet1!$F$2)-1700)*28%)+116)*Sheet1!$F$2</f>
        <v>#REF!</v>
      </c>
    </row>
    <row r="26" spans="2:34" ht="16">
      <c r="B26" s="433">
        <v>1975</v>
      </c>
      <c r="C26" s="24">
        <v>514.87</v>
      </c>
      <c r="D26" s="431">
        <v>3981.89</v>
      </c>
      <c r="E26" s="432">
        <v>3858.14</v>
      </c>
      <c r="F26" s="431">
        <v>3931.88</v>
      </c>
      <c r="I26" s="46" t="str">
        <f t="shared" si="1"/>
        <v>Retiro de cesantias antes del año 2016 (Ley 1819 del 2016) No limitada</v>
      </c>
      <c r="K26" s="134">
        <f t="shared" ref="K26" si="2">L20*$K$23</f>
        <v>0</v>
      </c>
      <c r="R26" s="677" t="s">
        <v>189</v>
      </c>
      <c r="S26" s="678"/>
      <c r="AA26" s="59">
        <f t="shared" si="0"/>
        <v>4101</v>
      </c>
      <c r="AB26" s="59">
        <v>8670</v>
      </c>
      <c r="AC26" s="59">
        <f>AA26*Sheet1!$F$2</f>
        <v>204225699</v>
      </c>
      <c r="AD26" s="59">
        <f>AB26*Sheet1!$F$2</f>
        <v>431757330</v>
      </c>
      <c r="AE26" s="60">
        <v>0.33</v>
      </c>
      <c r="AF26" s="47" t="s">
        <v>201</v>
      </c>
      <c r="AG26" s="62" t="e">
        <f>#REF!</f>
        <v>#REF!</v>
      </c>
      <c r="AH26" s="59" t="e">
        <f>((((AG26/Sheet1!$F$2)-4100)*33%)+788)*Sheet1!$F$2</f>
        <v>#REF!</v>
      </c>
    </row>
    <row r="27" spans="2:34" ht="16">
      <c r="B27" s="433">
        <v>1976</v>
      </c>
      <c r="C27" s="24">
        <v>437.78</v>
      </c>
      <c r="D27" s="431">
        <v>3385.47</v>
      </c>
      <c r="E27" s="432">
        <v>3281.22</v>
      </c>
      <c r="F27" s="431">
        <v>3343.94</v>
      </c>
      <c r="R27" s="234" t="s">
        <v>181</v>
      </c>
      <c r="S27" s="234">
        <f>S14</f>
        <v>189236200</v>
      </c>
      <c r="AA27" s="59">
        <f t="shared" si="0"/>
        <v>8671</v>
      </c>
      <c r="AB27" s="59">
        <v>18970</v>
      </c>
      <c r="AC27" s="59">
        <f>AA27*Sheet1!$F$2</f>
        <v>431807129</v>
      </c>
      <c r="AD27" s="59">
        <f>AB27*Sheet1!$F$2</f>
        <v>944687030</v>
      </c>
      <c r="AE27" s="60">
        <v>0.35</v>
      </c>
      <c r="AF27" s="47" t="s">
        <v>202</v>
      </c>
      <c r="AG27" s="62" t="e">
        <f>#REF!</f>
        <v>#REF!</v>
      </c>
      <c r="AH27" s="59" t="e">
        <f>((((AG27/Sheet1!$F$2)-8670)*35%)+2296)*Sheet1!$F$2</f>
        <v>#REF!</v>
      </c>
    </row>
    <row r="28" spans="2:34" ht="16">
      <c r="B28" s="433">
        <v>1977</v>
      </c>
      <c r="C28" s="24">
        <v>349.06</v>
      </c>
      <c r="D28" s="431">
        <v>2698.9</v>
      </c>
      <c r="E28" s="432">
        <v>2615.02</v>
      </c>
      <c r="F28" s="431">
        <v>2665</v>
      </c>
      <c r="R28" s="234" t="s">
        <v>182</v>
      </c>
      <c r="S28" s="3">
        <f>'R.no laboral y R gravables'!G3*30%</f>
        <v>96600000</v>
      </c>
      <c r="AA28" s="59">
        <f t="shared" si="0"/>
        <v>18971</v>
      </c>
      <c r="AB28" s="59">
        <v>31000</v>
      </c>
      <c r="AC28" s="59">
        <f>AA28*Sheet1!$F$2</f>
        <v>944736829</v>
      </c>
      <c r="AD28" s="59">
        <f>AB28*Sheet1!$F$2</f>
        <v>1543769000</v>
      </c>
      <c r="AE28" s="60">
        <v>0.37</v>
      </c>
      <c r="AF28" s="47" t="s">
        <v>203</v>
      </c>
      <c r="AG28" s="62" t="e">
        <f>#REF!</f>
        <v>#REF!</v>
      </c>
      <c r="AH28" s="59" t="e">
        <f>((((AG28/Sheet1!$F$2)-18970)*37%)+5901)*Sheet1!$F$2</f>
        <v>#REF!</v>
      </c>
    </row>
    <row r="29" spans="2:34" ht="16">
      <c r="B29" s="433">
        <v>1978</v>
      </c>
      <c r="C29" s="24">
        <v>273.72000000000003</v>
      </c>
      <c r="D29" s="431">
        <v>2117.65</v>
      </c>
      <c r="E29" s="432">
        <v>2051.84</v>
      </c>
      <c r="F29" s="431">
        <v>2091.0500000000002</v>
      </c>
      <c r="R29" t="s">
        <v>397</v>
      </c>
      <c r="S29" s="46">
        <f>'R.no laboral y R gravables'!E64+'R.no laboral y R gravables'!E65</f>
        <v>0</v>
      </c>
      <c r="AA29" s="59">
        <f t="shared" si="0"/>
        <v>31001</v>
      </c>
      <c r="AB29" s="59" t="s">
        <v>204</v>
      </c>
      <c r="AC29" s="59">
        <f>AA29*Sheet1!$F$2</f>
        <v>1543818799</v>
      </c>
      <c r="AD29" s="59">
        <v>9999999999</v>
      </c>
      <c r="AE29" s="60">
        <v>0.39</v>
      </c>
      <c r="AF29" s="47" t="s">
        <v>205</v>
      </c>
      <c r="AG29" s="62" t="e">
        <f>#REF!</f>
        <v>#REF!</v>
      </c>
      <c r="AH29" s="59" t="e">
        <f>((((AG29/Sheet1!$F$2)-31000)*39%)+10352)*Sheet1!$F$2</f>
        <v>#REF!</v>
      </c>
    </row>
    <row r="30" spans="2:34" ht="16">
      <c r="B30" s="433">
        <v>1979</v>
      </c>
      <c r="C30" s="24">
        <v>228.64</v>
      </c>
      <c r="D30" s="431">
        <v>1768.55</v>
      </c>
      <c r="E30" s="432">
        <v>1713.59</v>
      </c>
      <c r="F30" s="431">
        <v>1746.34</v>
      </c>
      <c r="I30" s="47"/>
      <c r="J30" s="47"/>
      <c r="K30" s="47" t="s">
        <v>246</v>
      </c>
      <c r="L30" s="47" t="s">
        <v>247</v>
      </c>
      <c r="R30" t="s">
        <v>401</v>
      </c>
      <c r="S30" s="46">
        <f>MIN(S27:S29)</f>
        <v>0</v>
      </c>
      <c r="AA30" s="26"/>
      <c r="AB30" s="26"/>
      <c r="AC30" s="26"/>
      <c r="AD30" s="26"/>
      <c r="AE30" s="56"/>
      <c r="AF30" s="4"/>
      <c r="AG30" s="4"/>
      <c r="AH30" s="4"/>
    </row>
    <row r="31" spans="2:34" ht="16">
      <c r="B31" s="433">
        <v>1980</v>
      </c>
      <c r="C31" s="24">
        <v>180.64</v>
      </c>
      <c r="D31" s="431">
        <v>1398.18</v>
      </c>
      <c r="E31" s="432">
        <v>1354.73</v>
      </c>
      <c r="F31" s="431">
        <v>1380.62</v>
      </c>
      <c r="I31" s="3"/>
      <c r="J31" s="3"/>
      <c r="K31" s="158">
        <f>'R.capital'!G2/12</f>
        <v>9118416.666666666</v>
      </c>
      <c r="L31" s="37">
        <f>'R.no laboral y R gravables'!G3*25%</f>
        <v>80500000</v>
      </c>
      <c r="AA31" s="26"/>
      <c r="AB31" s="26"/>
      <c r="AC31" s="26"/>
      <c r="AD31" s="26"/>
      <c r="AE31" s="25" t="s">
        <v>214</v>
      </c>
      <c r="AF31" s="61" t="e">
        <f>IF(AND(Sheet1!AG23&gt;Sheet1!AC23,Sheet1!AG23&lt;Sheet1!AD23),Sheet1!AH23,IF(AND(Sheet1!AG24&gt;Sheet1!AC24,Sheet1!AG24&lt;Sheet1!AD24),Sheet1!AH24,IF(AND(Sheet1!AG25&gt;Sheet1!AC25,Sheet1!AG25&lt;Sheet1!AD25),Sheet1!AH25,IF(AND(Sheet1!AG26&gt;Sheet1!AC26,Sheet1!AG26&lt;Sheet1!AD26),Sheet1!AH26,IF(AND(Sheet1!AG27&gt;Sheet1!AC27,Sheet1!AG27&lt;Sheet1!AD27),Sheet1!AH27,IF(AND(Sheet1!AG28&gt;Sheet1!AC28,Sheet1!AG28&lt;Sheet1!AD28),Sheet1!AH28,IF(AND(Sheet1!AG29&gt;Sheet1!AC29,Sheet1!AG29&lt;Sheet1!AD29),Sheet1!AH29,0)))))))</f>
        <v>#REF!</v>
      </c>
      <c r="AG31" s="4"/>
      <c r="AH31" s="4"/>
    </row>
    <row r="32" spans="2:34" ht="16">
      <c r="B32" s="433">
        <v>1981</v>
      </c>
      <c r="C32" s="24">
        <v>145.15</v>
      </c>
      <c r="D32" s="431">
        <v>1121.73</v>
      </c>
      <c r="E32" s="432">
        <v>1086.8699999999999</v>
      </c>
      <c r="F32" s="431">
        <v>1107.6500000000001</v>
      </c>
      <c r="I32" s="3"/>
      <c r="J32" s="3"/>
      <c r="K32" s="158">
        <f>2500*'R.capital'!G68</f>
        <v>124497500</v>
      </c>
      <c r="L32" s="37">
        <f>'R.no laboral y R gravables'!G87*2500</f>
        <v>124497500</v>
      </c>
    </row>
    <row r="33" spans="2:12" ht="16">
      <c r="B33" s="433">
        <v>1982</v>
      </c>
      <c r="C33" s="24">
        <v>115.48</v>
      </c>
      <c r="D33" s="24">
        <v>893.13</v>
      </c>
      <c r="E33" s="433">
        <v>865.38</v>
      </c>
      <c r="F33" s="24">
        <v>881.92</v>
      </c>
      <c r="I33" s="3"/>
      <c r="J33" s="3"/>
      <c r="K33" s="158">
        <f>MIN(K31,K32)</f>
        <v>9118416.666666666</v>
      </c>
      <c r="L33" s="37">
        <f>MIN(L31,L32)</f>
        <v>80500000</v>
      </c>
    </row>
    <row r="34" spans="2:12" ht="16">
      <c r="B34" s="433">
        <v>1983</v>
      </c>
      <c r="C34" s="24">
        <v>92.79</v>
      </c>
      <c r="D34" s="24">
        <v>717.7</v>
      </c>
      <c r="E34" s="433">
        <v>695.39</v>
      </c>
      <c r="F34" s="24">
        <v>708.68</v>
      </c>
      <c r="I34" s="683"/>
      <c r="J34" s="575"/>
    </row>
    <row r="35" spans="2:12" ht="16">
      <c r="B35" s="433">
        <v>1984</v>
      </c>
      <c r="C35" s="24">
        <v>79.7</v>
      </c>
      <c r="D35" s="24">
        <v>616.69000000000005</v>
      </c>
      <c r="E35" s="433">
        <v>597.52</v>
      </c>
      <c r="F35" s="24">
        <v>608.94000000000005</v>
      </c>
    </row>
    <row r="36" spans="2:12" ht="16">
      <c r="B36" s="433">
        <v>1985</v>
      </c>
      <c r="C36" s="24">
        <v>67.489999999999995</v>
      </c>
      <c r="D36" s="24">
        <v>535.16999999999996</v>
      </c>
      <c r="E36" s="433">
        <v>518.54</v>
      </c>
      <c r="F36" s="24">
        <v>528.45000000000005</v>
      </c>
    </row>
    <row r="37" spans="2:12" ht="16">
      <c r="B37" s="433">
        <v>1986</v>
      </c>
      <c r="C37" s="24">
        <v>55.27</v>
      </c>
      <c r="D37" s="24">
        <v>443.02</v>
      </c>
      <c r="E37" s="433">
        <v>429.25</v>
      </c>
      <c r="F37" s="24">
        <v>437.46</v>
      </c>
    </row>
    <row r="38" spans="2:12" ht="16">
      <c r="B38" s="433">
        <v>1987</v>
      </c>
      <c r="C38" s="24">
        <v>45.67</v>
      </c>
      <c r="D38" s="24">
        <v>375.68</v>
      </c>
      <c r="E38" s="433">
        <v>364.01</v>
      </c>
      <c r="F38" s="24">
        <v>370.97</v>
      </c>
    </row>
    <row r="39" spans="2:12" ht="16">
      <c r="B39" s="433">
        <v>1988</v>
      </c>
      <c r="C39" s="24">
        <v>37.229999999999997</v>
      </c>
      <c r="D39" s="24">
        <v>283.52999999999997</v>
      </c>
      <c r="E39" s="433">
        <v>274.72000000000003</v>
      </c>
      <c r="F39" s="24">
        <v>279.97000000000003</v>
      </c>
    </row>
    <row r="40" spans="2:12" ht="16">
      <c r="B40" s="433">
        <v>1989</v>
      </c>
      <c r="C40" s="24">
        <v>29.17</v>
      </c>
      <c r="D40" s="24">
        <v>176.77</v>
      </c>
      <c r="E40" s="433">
        <v>171.27</v>
      </c>
      <c r="F40" s="24">
        <v>174.55</v>
      </c>
    </row>
    <row r="41" spans="2:12" ht="16">
      <c r="B41" s="433">
        <v>1990</v>
      </c>
      <c r="C41" s="24">
        <v>23.14</v>
      </c>
      <c r="D41" s="24">
        <v>122.25</v>
      </c>
      <c r="E41" s="433">
        <v>118.45</v>
      </c>
      <c r="F41" s="24">
        <v>120.71</v>
      </c>
    </row>
    <row r="42" spans="2:12" ht="16">
      <c r="B42" s="433">
        <v>1991</v>
      </c>
      <c r="C42" s="24">
        <v>17.54</v>
      </c>
      <c r="D42" s="24">
        <v>85.19</v>
      </c>
      <c r="E42" s="433">
        <v>82.54</v>
      </c>
      <c r="F42" s="24">
        <v>84.12</v>
      </c>
      <c r="I42" s="682" t="s">
        <v>377</v>
      </c>
      <c r="J42" s="682"/>
    </row>
    <row r="43" spans="2:12" ht="16">
      <c r="B43" s="433">
        <v>1992</v>
      </c>
      <c r="C43" s="24">
        <v>13.82</v>
      </c>
      <c r="D43" s="24">
        <v>63.81</v>
      </c>
      <c r="E43" s="435">
        <v>61.83</v>
      </c>
      <c r="F43" s="24">
        <v>63.01</v>
      </c>
      <c r="I43" s="247" t="s">
        <v>375</v>
      </c>
      <c r="J43" s="248">
        <f>'R.trabajo y honorarios'!J63</f>
        <v>18000000</v>
      </c>
    </row>
    <row r="44" spans="2:12" ht="16">
      <c r="B44" s="433">
        <v>1993</v>
      </c>
      <c r="C44" s="24">
        <v>11.09</v>
      </c>
      <c r="D44" s="24">
        <v>45.35</v>
      </c>
      <c r="E44" s="433">
        <v>43.94</v>
      </c>
      <c r="F44" s="24">
        <v>44.78</v>
      </c>
      <c r="I44" s="238" t="s">
        <v>376</v>
      </c>
      <c r="J44" s="246">
        <f>IF(AND(((1200*'R.trabajo y honorarios'!H74)-'R.trabajo y honorarios'!G63)&gt;0,'R.trabajo y honorarios'!J63&gt;0),(1200*'R.trabajo y honorarios'!H74)-'R.trabajo y honorarios'!G63,0)</f>
        <v>59758800</v>
      </c>
    </row>
    <row r="45" spans="2:12" ht="16">
      <c r="B45" s="433">
        <v>1994</v>
      </c>
      <c r="C45" s="24">
        <v>9.0500000000000007</v>
      </c>
      <c r="D45" s="24">
        <v>32.979999999999997</v>
      </c>
      <c r="E45" s="433">
        <v>31.96</v>
      </c>
      <c r="F45" s="24">
        <v>32.57</v>
      </c>
      <c r="I45" t="s">
        <v>386</v>
      </c>
      <c r="J45" s="46">
        <f>+'R.trabajo y honorarios'!J63</f>
        <v>18000000</v>
      </c>
    </row>
    <row r="46" spans="2:12" ht="16">
      <c r="B46" s="433">
        <v>1995</v>
      </c>
      <c r="C46" s="24">
        <v>7.41</v>
      </c>
      <c r="D46" s="24">
        <v>23.5</v>
      </c>
      <c r="E46" s="433">
        <v>22.77</v>
      </c>
      <c r="F46" s="24">
        <v>23.2</v>
      </c>
      <c r="I46" s="238" t="s">
        <v>374</v>
      </c>
      <c r="J46" s="246">
        <f>+MIN(J43:J45)</f>
        <v>18000000</v>
      </c>
    </row>
    <row r="47" spans="2:12" ht="16">
      <c r="B47" s="433">
        <v>1996</v>
      </c>
      <c r="C47" s="24">
        <v>6.28</v>
      </c>
      <c r="D47" s="24">
        <v>17.37</v>
      </c>
      <c r="E47" s="433">
        <v>16.829999999999998</v>
      </c>
      <c r="F47" s="24">
        <v>17.149999999999999</v>
      </c>
    </row>
    <row r="48" spans="2:12" ht="16">
      <c r="B48" s="433">
        <v>1997</v>
      </c>
      <c r="C48" s="24">
        <v>5.41</v>
      </c>
      <c r="D48" s="24">
        <v>14.41</v>
      </c>
      <c r="E48" s="433">
        <v>13.97</v>
      </c>
      <c r="F48" s="24">
        <v>14.23</v>
      </c>
      <c r="I48" s="675" t="s">
        <v>184</v>
      </c>
      <c r="J48" s="675"/>
    </row>
    <row r="49" spans="2:46" ht="16">
      <c r="B49" s="433">
        <v>1998</v>
      </c>
      <c r="C49" s="24">
        <v>4.6100000000000003</v>
      </c>
      <c r="D49" s="24">
        <v>11.07</v>
      </c>
      <c r="E49" s="433">
        <v>10.73</v>
      </c>
      <c r="F49" s="24">
        <v>10.93</v>
      </c>
      <c r="I49" t="s">
        <v>49</v>
      </c>
      <c r="J49">
        <f>+'R.trabajo y honorarios'!H4*10%</f>
        <v>26033300</v>
      </c>
    </row>
    <row r="50" spans="2:46" ht="16">
      <c r="B50" s="433">
        <v>1999</v>
      </c>
      <c r="C50" s="24">
        <v>3.97</v>
      </c>
      <c r="D50" s="24">
        <v>9.23</v>
      </c>
      <c r="E50" s="433">
        <v>8.94</v>
      </c>
      <c r="F50" s="24">
        <v>9.11</v>
      </c>
      <c r="I50" t="s">
        <v>381</v>
      </c>
      <c r="J50" s="46">
        <f>+'R.trabajo y honorarios'!L4*10%</f>
        <v>19000000</v>
      </c>
    </row>
    <row r="51" spans="2:46" ht="16">
      <c r="B51" s="433">
        <v>2000</v>
      </c>
      <c r="C51" s="24">
        <v>3.64</v>
      </c>
      <c r="D51" s="24">
        <v>9.16</v>
      </c>
      <c r="E51" s="433">
        <v>8.8800000000000008</v>
      </c>
      <c r="F51" s="24">
        <v>9.0500000000000007</v>
      </c>
      <c r="I51" t="s">
        <v>380</v>
      </c>
      <c r="J51" s="238">
        <f>+('R.trabajo y honorarios'!H4+'R.trabajo y honorarios'!L4)*10%</f>
        <v>45033300</v>
      </c>
    </row>
    <row r="52" spans="2:46" ht="16">
      <c r="B52" s="433">
        <v>2001</v>
      </c>
      <c r="C52" s="24">
        <v>3.36</v>
      </c>
      <c r="D52" s="24">
        <v>8.86</v>
      </c>
      <c r="E52" s="433">
        <v>8.59</v>
      </c>
      <c r="F52" s="24">
        <v>8.75</v>
      </c>
      <c r="I52" t="s">
        <v>378</v>
      </c>
      <c r="J52" s="245">
        <f>'R.trabajo y honorarios'!H74*12*32</f>
        <v>19122816</v>
      </c>
      <c r="AR52" s="261" t="s">
        <v>403</v>
      </c>
      <c r="AS52" s="262">
        <v>3330.67</v>
      </c>
      <c r="AT52" s="263">
        <v>29515.74</v>
      </c>
    </row>
    <row r="53" spans="2:46" ht="16">
      <c r="B53" s="433">
        <v>2002</v>
      </c>
      <c r="C53" s="24">
        <v>3.13</v>
      </c>
      <c r="D53" s="24">
        <v>8.19</v>
      </c>
      <c r="E53" s="433">
        <v>7.94</v>
      </c>
      <c r="F53" s="24">
        <v>8.09</v>
      </c>
      <c r="I53" s="47" t="s">
        <v>384</v>
      </c>
      <c r="J53" s="246">
        <f>+MIN(J51:J52)</f>
        <v>19122816</v>
      </c>
      <c r="AR53" s="264">
        <v>1956</v>
      </c>
      <c r="AS53" s="262">
        <v>3264</v>
      </c>
      <c r="AT53" s="263">
        <v>28925.8</v>
      </c>
    </row>
    <row r="54" spans="2:46" ht="16">
      <c r="B54" s="433">
        <v>2003</v>
      </c>
      <c r="C54" s="24">
        <v>2.93</v>
      </c>
      <c r="D54" s="24">
        <v>7.35</v>
      </c>
      <c r="E54" s="433">
        <v>7.12</v>
      </c>
      <c r="F54" s="24">
        <v>7.26</v>
      </c>
      <c r="I54" t="s">
        <v>382</v>
      </c>
      <c r="J54" s="46">
        <f>IF('R.trabajo y honorarios'!F64="Si",MIN(J49,J52),0)</f>
        <v>19122816</v>
      </c>
      <c r="AR54" s="264">
        <v>1957</v>
      </c>
      <c r="AS54" s="262">
        <v>3022.24</v>
      </c>
      <c r="AT54" s="263">
        <v>26783.47</v>
      </c>
    </row>
    <row r="55" spans="2:46" ht="16">
      <c r="B55" s="433">
        <v>2004</v>
      </c>
      <c r="C55" s="24">
        <v>2.75</v>
      </c>
      <c r="D55" s="24">
        <v>6.92</v>
      </c>
      <c r="E55" s="433">
        <v>6.7</v>
      </c>
      <c r="F55" s="24">
        <v>6.83</v>
      </c>
      <c r="I55" t="s">
        <v>1</v>
      </c>
      <c r="J55" s="46">
        <f>+J53-J54</f>
        <v>0</v>
      </c>
      <c r="AR55" s="264">
        <v>1958</v>
      </c>
      <c r="AS55" s="262">
        <v>2549.9299999999998</v>
      </c>
      <c r="AT55" s="263">
        <v>22597.37</v>
      </c>
    </row>
    <row r="56" spans="2:46" ht="16">
      <c r="B56" s="433">
        <v>2005</v>
      </c>
      <c r="C56" s="24">
        <v>2.61</v>
      </c>
      <c r="D56" s="24">
        <v>6.5</v>
      </c>
      <c r="E56" s="433">
        <v>6.29</v>
      </c>
      <c r="F56" s="24">
        <v>6.41</v>
      </c>
      <c r="I56" t="s">
        <v>383</v>
      </c>
      <c r="J56" s="46">
        <f>+MIN(J50,J52,J55)</f>
        <v>0</v>
      </c>
      <c r="AR56" s="264">
        <v>1959</v>
      </c>
      <c r="AS56" s="262">
        <v>2331.2199999999998</v>
      </c>
      <c r="AT56" s="263">
        <v>20659.419999999998</v>
      </c>
    </row>
    <row r="57" spans="2:46" ht="16">
      <c r="B57" s="433">
        <v>2006</v>
      </c>
      <c r="C57" s="24">
        <v>2.48</v>
      </c>
      <c r="D57" s="24">
        <v>6.15</v>
      </c>
      <c r="E57" s="433">
        <v>5.96</v>
      </c>
      <c r="F57" s="24">
        <v>6.07</v>
      </c>
      <c r="AR57" s="264">
        <v>1960</v>
      </c>
      <c r="AS57" s="262">
        <v>2175.86</v>
      </c>
      <c r="AT57" s="263">
        <v>19282.419999999998</v>
      </c>
    </row>
    <row r="58" spans="2:46" ht="16">
      <c r="B58" s="433">
        <v>2007</v>
      </c>
      <c r="C58" s="24">
        <v>2.37</v>
      </c>
      <c r="D58" s="24">
        <v>4.67</v>
      </c>
      <c r="E58" s="433">
        <v>4.53</v>
      </c>
      <c r="F58" s="24">
        <v>4.62</v>
      </c>
      <c r="I58" s="682" t="s">
        <v>379</v>
      </c>
      <c r="J58" s="682"/>
      <c r="AR58" s="264">
        <v>1961</v>
      </c>
      <c r="AS58" s="262">
        <v>2039.82</v>
      </c>
      <c r="AT58" s="263">
        <v>17979.330000000002</v>
      </c>
    </row>
    <row r="59" spans="2:46" ht="16">
      <c r="B59" s="433">
        <v>2008</v>
      </c>
      <c r="C59" s="24">
        <v>2.2400000000000002</v>
      </c>
      <c r="D59" s="24">
        <v>4.16</v>
      </c>
      <c r="E59" s="433">
        <v>4.03</v>
      </c>
      <c r="F59" s="24">
        <v>4.1100000000000003</v>
      </c>
      <c r="I59" s="247" t="s">
        <v>375</v>
      </c>
      <c r="J59" s="248">
        <f>'R.trabajo y honorarios'!G65</f>
        <v>9561408</v>
      </c>
      <c r="AR59" s="264">
        <v>1962</v>
      </c>
      <c r="AS59" s="262">
        <v>1919.98</v>
      </c>
      <c r="AT59" s="263">
        <v>17013.98</v>
      </c>
    </row>
    <row r="60" spans="2:46" ht="16">
      <c r="B60" s="433">
        <v>2009</v>
      </c>
      <c r="C60" s="24">
        <v>2.0699999999999998</v>
      </c>
      <c r="D60" s="24">
        <v>3.43</v>
      </c>
      <c r="E60" s="433">
        <v>3.32</v>
      </c>
      <c r="F60" s="24">
        <v>3.38</v>
      </c>
      <c r="I60" s="238" t="s">
        <v>376</v>
      </c>
      <c r="J60" s="6">
        <f>IF(AND(((192*'R.trabajo y honorarios'!H74)-'R.trabajo y honorarios'!G65)&gt;0,'R.trabajo y honorarios'!J65&gt;0),(192*'R.trabajo y honorarios'!H74)-'R.trabajo y honorarios'!G65,0)</f>
        <v>0</v>
      </c>
      <c r="AR60" s="264">
        <v>1963</v>
      </c>
      <c r="AS60" s="262">
        <v>1793.28</v>
      </c>
      <c r="AT60" s="263">
        <v>15892.09</v>
      </c>
    </row>
    <row r="61" spans="2:46" ht="16">
      <c r="B61" s="433">
        <v>2010</v>
      </c>
      <c r="C61" s="24">
        <v>2.0299999999999998</v>
      </c>
      <c r="D61" s="24">
        <v>3.12</v>
      </c>
      <c r="E61" s="433">
        <v>3.02</v>
      </c>
      <c r="F61" s="24">
        <v>3.08</v>
      </c>
      <c r="I61" t="s">
        <v>385</v>
      </c>
      <c r="J61" s="46">
        <f>'R.trabajo y honorarios'!J65</f>
        <v>0</v>
      </c>
      <c r="AR61" s="264">
        <v>1964</v>
      </c>
      <c r="AS61" s="262">
        <v>1371.23</v>
      </c>
      <c r="AT61" s="263">
        <v>12152.43</v>
      </c>
    </row>
    <row r="62" spans="2:46" ht="16">
      <c r="B62" s="433">
        <v>2011</v>
      </c>
      <c r="C62" s="24">
        <v>1.97</v>
      </c>
      <c r="D62" s="24">
        <v>2.86</v>
      </c>
      <c r="E62" s="433">
        <v>2.77</v>
      </c>
      <c r="F62" s="24">
        <v>2.82</v>
      </c>
      <c r="I62" s="238" t="s">
        <v>374</v>
      </c>
      <c r="J62" s="246">
        <f>+MIN(J59:J61)</f>
        <v>0</v>
      </c>
      <c r="AR62" s="264">
        <v>1965</v>
      </c>
      <c r="AS62" s="262">
        <v>1255.3399999999999</v>
      </c>
      <c r="AT62" s="263">
        <v>11124.75</v>
      </c>
    </row>
    <row r="63" spans="2:46" ht="16">
      <c r="B63" s="433">
        <v>2012</v>
      </c>
      <c r="C63" s="24">
        <v>1.9</v>
      </c>
      <c r="D63" s="24">
        <v>2.39</v>
      </c>
      <c r="E63" s="433">
        <v>2.3199999999999998</v>
      </c>
      <c r="F63" s="24">
        <v>2.36</v>
      </c>
      <c r="AR63" s="264">
        <v>1966</v>
      </c>
      <c r="AS63" s="262">
        <v>1095.2</v>
      </c>
      <c r="AT63" s="263">
        <v>9705.7099999999991</v>
      </c>
    </row>
    <row r="64" spans="2:46" ht="16">
      <c r="B64" s="433">
        <v>2013</v>
      </c>
      <c r="C64" s="24">
        <v>1.85</v>
      </c>
      <c r="D64" s="24">
        <v>2.0499999999999998</v>
      </c>
      <c r="E64" s="433">
        <v>1.99</v>
      </c>
      <c r="F64" s="24">
        <v>2.0299999999999998</v>
      </c>
      <c r="AR64" s="264">
        <v>1967</v>
      </c>
      <c r="AS64" s="265">
        <v>965.6</v>
      </c>
      <c r="AT64" s="263">
        <v>8557.7199999999993</v>
      </c>
    </row>
    <row r="65" spans="2:46" ht="16">
      <c r="B65" s="433">
        <v>2014</v>
      </c>
      <c r="C65" s="24">
        <v>1.82</v>
      </c>
      <c r="D65" s="24">
        <v>1.81</v>
      </c>
      <c r="E65" s="433">
        <v>1.76</v>
      </c>
      <c r="F65" s="24">
        <v>1.79</v>
      </c>
      <c r="I65" s="675" t="s">
        <v>389</v>
      </c>
      <c r="J65" s="675"/>
      <c r="AR65" s="264">
        <v>1968</v>
      </c>
      <c r="AS65" s="266">
        <v>896.64</v>
      </c>
      <c r="AT65" s="263">
        <v>7946.04</v>
      </c>
    </row>
    <row r="66" spans="2:46" ht="16">
      <c r="B66" s="433">
        <v>2015</v>
      </c>
      <c r="C66" s="24">
        <v>1.75</v>
      </c>
      <c r="D66" s="24">
        <v>1.68</v>
      </c>
      <c r="E66" s="433">
        <v>1.63</v>
      </c>
      <c r="F66" s="24">
        <v>1.66</v>
      </c>
      <c r="I66" t="s">
        <v>49</v>
      </c>
      <c r="J66" s="249">
        <f>'R.trabajo y honorarios'!H4/12</f>
        <v>21694416.666666668</v>
      </c>
      <c r="K66" s="63"/>
      <c r="AR66" s="264">
        <v>1969</v>
      </c>
      <c r="AS66" s="266">
        <v>841.18</v>
      </c>
      <c r="AT66" s="263">
        <v>7454.67</v>
      </c>
    </row>
    <row r="67" spans="2:46" ht="16">
      <c r="B67" s="433">
        <v>2016</v>
      </c>
      <c r="C67" s="24">
        <v>1.64</v>
      </c>
      <c r="D67" s="24">
        <v>1.6</v>
      </c>
      <c r="E67" s="433">
        <v>1.55</v>
      </c>
      <c r="F67" s="24">
        <v>1.58</v>
      </c>
      <c r="I67" t="s">
        <v>381</v>
      </c>
      <c r="J67" s="249">
        <f>'R.trabajo y honorarios'!L4/12</f>
        <v>15833333.333333334</v>
      </c>
      <c r="AR67" s="264">
        <v>1970</v>
      </c>
      <c r="AS67" s="266">
        <v>773.47</v>
      </c>
      <c r="AT67" s="263">
        <v>6854.59</v>
      </c>
    </row>
    <row r="68" spans="2:46" ht="16">
      <c r="B68" s="433">
        <v>2017</v>
      </c>
      <c r="C68" s="24">
        <v>1.56</v>
      </c>
      <c r="D68" s="24">
        <v>1.52</v>
      </c>
      <c r="E68" s="433">
        <v>1.48</v>
      </c>
      <c r="F68" s="24">
        <v>1.5</v>
      </c>
      <c r="I68" t="s">
        <v>387</v>
      </c>
      <c r="J68" s="238">
        <f>+J66+J67</f>
        <v>37527750</v>
      </c>
      <c r="AR68" s="264">
        <v>1971</v>
      </c>
      <c r="AS68" s="267" t="s">
        <v>404</v>
      </c>
      <c r="AT68" s="263">
        <v>6399.45</v>
      </c>
    </row>
    <row r="69" spans="2:46" ht="16">
      <c r="B69" s="433">
        <v>2018</v>
      </c>
      <c r="C69" s="24">
        <v>1.5</v>
      </c>
      <c r="D69" s="24">
        <v>1.41</v>
      </c>
      <c r="E69" s="433">
        <v>1.36</v>
      </c>
      <c r="F69" s="24">
        <v>1.39</v>
      </c>
      <c r="I69" t="s">
        <v>388</v>
      </c>
      <c r="J69" s="245">
        <f>'R.trabajo y honorarios'!H74*2500</f>
        <v>124497500</v>
      </c>
      <c r="AR69" s="264">
        <v>1972</v>
      </c>
      <c r="AS69" s="266">
        <v>639.91999999999996</v>
      </c>
      <c r="AT69" s="263">
        <v>5671.81</v>
      </c>
    </row>
    <row r="70" spans="2:46" ht="16">
      <c r="B70" s="433">
        <v>2019</v>
      </c>
      <c r="C70" s="24">
        <v>1.45</v>
      </c>
      <c r="D70" s="24">
        <v>1.3</v>
      </c>
      <c r="E70" s="433">
        <v>1.26</v>
      </c>
      <c r="F70" s="24">
        <v>1.28</v>
      </c>
      <c r="I70" s="47" t="s">
        <v>384</v>
      </c>
      <c r="J70" s="246">
        <f>+MIN(J68:J69)</f>
        <v>37527750</v>
      </c>
      <c r="AR70" s="264">
        <v>1973</v>
      </c>
      <c r="AS70" s="266">
        <v>562.66</v>
      </c>
      <c r="AT70" s="263">
        <v>4987.66</v>
      </c>
    </row>
    <row r="71" spans="2:46" ht="16">
      <c r="B71" s="433">
        <v>2020</v>
      </c>
      <c r="C71" s="24">
        <v>1.4</v>
      </c>
      <c r="D71" s="24">
        <v>1.22</v>
      </c>
      <c r="E71" s="433">
        <v>1.18</v>
      </c>
      <c r="F71" s="24">
        <v>1.21</v>
      </c>
      <c r="I71" s="46" t="str">
        <f>'R.trabajo y honorarios'!C67</f>
        <v>Aportes voluntarios a fondos de cesantias (Inc. 6 Art 126-1 E.T.)</v>
      </c>
      <c r="J71" s="46">
        <f>'R.trabajo y honorarios'!F67</f>
        <v>0</v>
      </c>
      <c r="AR71" s="264">
        <v>1974</v>
      </c>
      <c r="AS71" s="266">
        <v>459.64</v>
      </c>
      <c r="AT71" s="263">
        <v>4074.48</v>
      </c>
    </row>
    <row r="72" spans="2:46" ht="16">
      <c r="B72" s="433">
        <v>2021</v>
      </c>
      <c r="C72" s="24">
        <v>1.38</v>
      </c>
      <c r="D72" s="24">
        <v>1.1599999999999999</v>
      </c>
      <c r="E72" s="433">
        <v>1.1200000000000001</v>
      </c>
      <c r="F72" s="24">
        <v>1.1399999999999999</v>
      </c>
      <c r="I72" t="s">
        <v>382</v>
      </c>
      <c r="J72" s="46">
        <f>MIN(J66,J69,J71)</f>
        <v>0</v>
      </c>
      <c r="AR72" s="264">
        <v>1975</v>
      </c>
      <c r="AS72" s="266">
        <v>367.63</v>
      </c>
      <c r="AT72" s="263">
        <v>3256.98</v>
      </c>
    </row>
    <row r="73" spans="2:46" ht="16">
      <c r="B73" s="433">
        <v>2022</v>
      </c>
      <c r="C73" s="24">
        <v>1.3</v>
      </c>
      <c r="D73" s="24">
        <v>1.1200000000000001</v>
      </c>
      <c r="E73" s="433">
        <v>1.0900000000000001</v>
      </c>
      <c r="F73" s="24">
        <v>1.1100000000000001</v>
      </c>
      <c r="I73" t="s">
        <v>1</v>
      </c>
      <c r="J73" s="46">
        <f>+J70-J72</f>
        <v>37527750</v>
      </c>
      <c r="AR73" s="264">
        <v>1976</v>
      </c>
      <c r="AS73" s="266">
        <v>312.58999999999997</v>
      </c>
      <c r="AT73" s="263">
        <v>2769.95</v>
      </c>
    </row>
    <row r="74" spans="2:46" ht="16">
      <c r="B74" s="433">
        <v>2023</v>
      </c>
      <c r="C74" s="24">
        <v>1.1499999999999999</v>
      </c>
      <c r="D74" s="24">
        <v>1.0900000000000001</v>
      </c>
      <c r="E74" s="433">
        <v>1.06</v>
      </c>
      <c r="F74" s="24">
        <v>1.08</v>
      </c>
      <c r="I74" s="46" t="str">
        <f>I71</f>
        <v>Aportes voluntarios a fondos de cesantias (Inc. 6 Art 126-1 E.T.)</v>
      </c>
      <c r="J74" s="46">
        <f>'R.trabajo y honorarios'!J67</f>
        <v>0</v>
      </c>
      <c r="AR74" s="264">
        <v>1977</v>
      </c>
      <c r="AS74" s="266">
        <v>249.24</v>
      </c>
      <c r="AT74" s="263">
        <v>2207.56</v>
      </c>
    </row>
    <row r="75" spans="2:46" ht="16">
      <c r="B75" s="433">
        <v>2024</v>
      </c>
      <c r="C75" s="436">
        <v>1.05</v>
      </c>
      <c r="D75" s="436">
        <v>1.05</v>
      </c>
      <c r="E75" s="437">
        <v>1.03</v>
      </c>
      <c r="F75" s="436">
        <v>1.05</v>
      </c>
      <c r="I75" t="s">
        <v>383</v>
      </c>
      <c r="J75" s="46">
        <f>+MIN(J67,J69,J73,J74)</f>
        <v>0</v>
      </c>
      <c r="AR75" s="264">
        <v>1978</v>
      </c>
      <c r="AS75" s="266">
        <v>195.45</v>
      </c>
      <c r="AT75" s="263">
        <v>1732.13</v>
      </c>
    </row>
    <row r="76" spans="2:46" ht="16" thickBot="1">
      <c r="AQ76" s="264">
        <v>1979</v>
      </c>
      <c r="AR76" s="266">
        <v>163.25</v>
      </c>
      <c r="AS76" s="263">
        <v>1446.58</v>
      </c>
    </row>
    <row r="77" spans="2:46" ht="16" thickBot="1">
      <c r="B77" s="160" t="s">
        <v>250</v>
      </c>
      <c r="C77" s="161">
        <v>43465</v>
      </c>
      <c r="D77" s="363"/>
      <c r="AQ77" s="264">
        <v>1980</v>
      </c>
      <c r="AR77" s="266">
        <v>128.97999999999999</v>
      </c>
      <c r="AS77" s="263">
        <v>1143.6400000000001</v>
      </c>
    </row>
    <row r="78" spans="2:46" ht="16" thickBot="1">
      <c r="AQ78" s="264">
        <v>1981</v>
      </c>
      <c r="AR78" s="266">
        <v>103.64</v>
      </c>
      <c r="AS78" s="268">
        <v>917.52</v>
      </c>
    </row>
    <row r="79" spans="2:46">
      <c r="B79" s="162" t="s">
        <v>251</v>
      </c>
      <c r="C79" s="162" t="s">
        <v>252</v>
      </c>
      <c r="D79" s="162"/>
      <c r="E79" s="162" t="s">
        <v>253</v>
      </c>
      <c r="AQ79" s="264">
        <v>1982</v>
      </c>
      <c r="AR79" s="266">
        <v>82.46</v>
      </c>
      <c r="AS79" s="268">
        <v>730.54</v>
      </c>
    </row>
    <row r="80" spans="2:46">
      <c r="B80" s="163" t="e">
        <f>#REF!-#REF!-#REF!</f>
        <v>#REF!</v>
      </c>
      <c r="C80" s="163" t="e">
        <f>#REF!-#REF!-#REF!</f>
        <v>#REF!</v>
      </c>
      <c r="D80" s="163"/>
      <c r="E80" s="163" t="e">
        <f>#REF!-#REF!-#REF!</f>
        <v>#REF!</v>
      </c>
      <c r="AQ80" s="264">
        <v>1983</v>
      </c>
      <c r="AR80" s="266">
        <v>66.260000000000005</v>
      </c>
      <c r="AS80" s="268">
        <v>587.04</v>
      </c>
    </row>
    <row r="81" spans="2:45">
      <c r="B81" s="164" t="e">
        <f>#REF!</f>
        <v>#REF!</v>
      </c>
      <c r="AQ81" s="264">
        <v>1984</v>
      </c>
      <c r="AR81" s="266">
        <v>56.91</v>
      </c>
      <c r="AS81" s="268">
        <v>504.42</v>
      </c>
    </row>
    <row r="82" spans="2:45" ht="16" thickBot="1">
      <c r="B82" s="165" t="e">
        <f>MIN(B80,B81)</f>
        <v>#REF!</v>
      </c>
      <c r="AQ82" s="264">
        <v>1985</v>
      </c>
      <c r="AR82" s="266">
        <v>48.19</v>
      </c>
      <c r="AS82" s="268">
        <v>437.74</v>
      </c>
    </row>
    <row r="83" spans="2:45">
      <c r="AQ83" s="264">
        <v>1986</v>
      </c>
      <c r="AR83" s="266">
        <v>39.46</v>
      </c>
      <c r="AS83" s="268">
        <v>362.37</v>
      </c>
    </row>
    <row r="84" spans="2:45">
      <c r="AQ84" s="264">
        <v>1987</v>
      </c>
      <c r="AR84" s="266">
        <v>32.61</v>
      </c>
      <c r="AS84" s="268">
        <v>307.29000000000002</v>
      </c>
    </row>
    <row r="85" spans="2:45">
      <c r="B85" s="166" t="e">
        <f>15000*#REF!</f>
        <v>#REF!</v>
      </c>
      <c r="C85" s="47" t="s">
        <v>254</v>
      </c>
      <c r="D85" s="47"/>
      <c r="E85" s="47"/>
      <c r="AQ85" s="264">
        <v>1988</v>
      </c>
      <c r="AR85" s="266">
        <v>26.59</v>
      </c>
      <c r="AS85" s="268">
        <v>231.92</v>
      </c>
    </row>
    <row r="86" spans="2:45">
      <c r="AQ86" s="264">
        <v>1989</v>
      </c>
      <c r="AR86" s="266">
        <v>20.83</v>
      </c>
      <c r="AS86" s="268">
        <v>144.59</v>
      </c>
    </row>
    <row r="87" spans="2:45">
      <c r="AQ87" s="264">
        <v>1990</v>
      </c>
      <c r="AR87" s="266">
        <v>16.52</v>
      </c>
      <c r="AS87" s="268">
        <v>99.99</v>
      </c>
    </row>
    <row r="88" spans="2:45">
      <c r="AQ88" s="264">
        <v>1991</v>
      </c>
      <c r="AR88" s="266">
        <v>12.53</v>
      </c>
      <c r="AS88" s="268">
        <v>69.680000000000007</v>
      </c>
    </row>
    <row r="89" spans="2:45">
      <c r="AQ89" s="264">
        <v>1992</v>
      </c>
      <c r="AR89" s="266">
        <v>9.8699999999999992</v>
      </c>
      <c r="AS89" s="268">
        <v>52.19</v>
      </c>
    </row>
    <row r="90" spans="2:45">
      <c r="AQ90" s="264">
        <v>1993</v>
      </c>
      <c r="AR90" s="266">
        <v>7.92</v>
      </c>
      <c r="AS90" s="269" t="s">
        <v>405</v>
      </c>
    </row>
    <row r="91" spans="2:45">
      <c r="AQ91" s="264">
        <v>1994</v>
      </c>
      <c r="AR91" s="266">
        <v>6.46</v>
      </c>
      <c r="AS91" s="268">
        <v>26.98</v>
      </c>
    </row>
    <row r="92" spans="2:45">
      <c r="AQ92" s="264">
        <v>1995</v>
      </c>
      <c r="AR92" s="266">
        <v>5.29</v>
      </c>
      <c r="AS92" s="268">
        <v>19.22</v>
      </c>
    </row>
    <row r="93" spans="2:45">
      <c r="AQ93" s="264">
        <v>1996</v>
      </c>
      <c r="AR93" s="266">
        <v>4.4800000000000004</v>
      </c>
      <c r="AS93" s="268">
        <v>14.21</v>
      </c>
    </row>
    <row r="94" spans="2:45">
      <c r="AQ94" s="264">
        <v>1997</v>
      </c>
      <c r="AR94" s="266">
        <v>3.87</v>
      </c>
      <c r="AS94" s="268">
        <v>11.79</v>
      </c>
    </row>
    <row r="95" spans="2:45">
      <c r="AQ95" s="264">
        <v>1998</v>
      </c>
      <c r="AR95" s="266">
        <v>3.29</v>
      </c>
      <c r="AS95" s="268">
        <v>9.06</v>
      </c>
    </row>
    <row r="96" spans="2:45">
      <c r="AQ96" s="264">
        <v>1999</v>
      </c>
      <c r="AR96" s="266">
        <v>2.84</v>
      </c>
      <c r="AS96" s="268">
        <v>7.55</v>
      </c>
    </row>
    <row r="97" spans="43:45">
      <c r="AQ97" s="264">
        <v>2000</v>
      </c>
      <c r="AR97" s="265">
        <v>2.6</v>
      </c>
      <c r="AS97" s="270">
        <v>7.5</v>
      </c>
    </row>
    <row r="98" spans="43:45">
      <c r="AQ98" s="264">
        <v>2001</v>
      </c>
      <c r="AR98" s="265">
        <v>2.4</v>
      </c>
      <c r="AS98" s="268">
        <v>7.25</v>
      </c>
    </row>
    <row r="99" spans="43:45">
      <c r="AQ99" s="264">
        <v>2002</v>
      </c>
      <c r="AR99" s="266">
        <v>2.23</v>
      </c>
      <c r="AS99" s="270">
        <v>6.7</v>
      </c>
    </row>
    <row r="100" spans="43:45">
      <c r="AQ100" s="264">
        <v>2003</v>
      </c>
      <c r="AR100" s="266">
        <v>2.09</v>
      </c>
      <c r="AS100" s="268">
        <v>6.01</v>
      </c>
    </row>
    <row r="101" spans="43:45">
      <c r="AQ101" s="264">
        <v>2004</v>
      </c>
      <c r="AR101" s="266">
        <v>1.97</v>
      </c>
      <c r="AS101" s="268">
        <v>5.66</v>
      </c>
    </row>
    <row r="102" spans="43:45">
      <c r="AQ102" s="264">
        <v>2005</v>
      </c>
      <c r="AR102" s="266">
        <v>1.86</v>
      </c>
      <c r="AS102" s="268">
        <v>5.31</v>
      </c>
    </row>
    <row r="103" spans="43:45">
      <c r="AQ103" s="264">
        <v>2006</v>
      </c>
      <c r="AR103" s="266">
        <v>1.77</v>
      </c>
      <c r="AS103" s="268">
        <v>5.03</v>
      </c>
    </row>
    <row r="104" spans="43:45">
      <c r="AQ104" s="264">
        <v>2007</v>
      </c>
      <c r="AR104" s="266">
        <v>1.69</v>
      </c>
      <c r="AS104" s="268">
        <v>3.82</v>
      </c>
    </row>
    <row r="105" spans="43:45">
      <c r="AQ105" s="264">
        <v>2008</v>
      </c>
      <c r="AR105" s="265">
        <v>1.6</v>
      </c>
      <c r="AS105" s="270">
        <v>3.4</v>
      </c>
    </row>
    <row r="106" spans="43:45">
      <c r="AQ106" s="264">
        <v>2009</v>
      </c>
      <c r="AR106" s="266">
        <v>1.48</v>
      </c>
      <c r="AS106" s="270">
        <v>2.8</v>
      </c>
    </row>
    <row r="107" spans="43:45">
      <c r="AQ107" s="264">
        <v>2010</v>
      </c>
      <c r="AR107" s="266">
        <v>1.45</v>
      </c>
      <c r="AS107" s="268">
        <v>2.5499999999999998</v>
      </c>
    </row>
    <row r="108" spans="43:45">
      <c r="AQ108" s="264">
        <v>2011</v>
      </c>
      <c r="AR108" s="266">
        <v>1.41</v>
      </c>
      <c r="AS108" s="268">
        <v>2.34</v>
      </c>
    </row>
    <row r="109" spans="43:45">
      <c r="AQ109" s="264">
        <v>2012</v>
      </c>
      <c r="AR109" s="266">
        <v>1.36</v>
      </c>
      <c r="AS109" s="268">
        <v>1.95</v>
      </c>
    </row>
    <row r="110" spans="43:45">
      <c r="AQ110" s="264">
        <v>2013</v>
      </c>
      <c r="AR110" s="266">
        <v>1.32</v>
      </c>
      <c r="AS110" s="268">
        <v>1.68</v>
      </c>
    </row>
    <row r="111" spans="43:45">
      <c r="AQ111" s="264">
        <v>2014</v>
      </c>
      <c r="AR111" s="265">
        <v>1.3</v>
      </c>
      <c r="AS111" s="268">
        <v>1.48</v>
      </c>
    </row>
    <row r="112" spans="43:45">
      <c r="AQ112" s="264">
        <v>2015</v>
      </c>
      <c r="AR112" s="266">
        <v>1.25</v>
      </c>
      <c r="AS112" s="268">
        <v>1.38</v>
      </c>
    </row>
    <row r="113" spans="43:45">
      <c r="AQ113" s="264">
        <v>2016</v>
      </c>
      <c r="AR113" s="266">
        <v>1.17</v>
      </c>
      <c r="AS113" s="268">
        <v>1.31</v>
      </c>
    </row>
    <row r="114" spans="43:45">
      <c r="AQ114" s="264">
        <v>2017</v>
      </c>
      <c r="AR114" s="266">
        <v>1.1100000000000001</v>
      </c>
      <c r="AS114" s="268">
        <v>1.25</v>
      </c>
    </row>
    <row r="115" spans="43:45">
      <c r="AQ115" s="264">
        <v>2018</v>
      </c>
      <c r="AR115" s="266">
        <v>1.07</v>
      </c>
      <c r="AS115" s="268">
        <v>1.1499999999999999</v>
      </c>
    </row>
    <row r="116" spans="43:45" ht="16" thickBot="1">
      <c r="AQ116" s="271">
        <v>2019</v>
      </c>
      <c r="AR116" s="272">
        <v>1.04</v>
      </c>
      <c r="AS116" s="273">
        <v>1.06</v>
      </c>
    </row>
  </sheetData>
  <mergeCells count="18">
    <mergeCell ref="AF21:AF22"/>
    <mergeCell ref="AG21:AG22"/>
    <mergeCell ref="AH21:AH22"/>
    <mergeCell ref="AA21:AB21"/>
    <mergeCell ref="AC21:AD21"/>
    <mergeCell ref="AE21:AE22"/>
    <mergeCell ref="U10:X10"/>
    <mergeCell ref="U19:U20"/>
    <mergeCell ref="I42:J42"/>
    <mergeCell ref="I58:J58"/>
    <mergeCell ref="I34:J34"/>
    <mergeCell ref="I65:J65"/>
    <mergeCell ref="R5:S5"/>
    <mergeCell ref="R13:S13"/>
    <mergeCell ref="R26:S26"/>
    <mergeCell ref="H6:P6"/>
    <mergeCell ref="I48:J48"/>
    <mergeCell ref="R20:S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F45"/>
  <sheetViews>
    <sheetView showGridLines="0" zoomScale="200" zoomScaleNormal="200" zoomScaleSheetLayoutView="219" workbookViewId="0">
      <pane xSplit="1" ySplit="1" topLeftCell="B21" activePane="bottomRight" state="frozen"/>
      <selection pane="topRight" activeCell="B1" sqref="B1"/>
      <selection pane="bottomLeft" activeCell="A2" sqref="A2"/>
      <selection pane="bottomRight" activeCell="B2" sqref="B2"/>
    </sheetView>
  </sheetViews>
  <sheetFormatPr baseColWidth="10" defaultColWidth="0" defaultRowHeight="16" zeroHeight="1"/>
  <cols>
    <col min="1" max="1" width="3.5" bestFit="1" customWidth="1"/>
    <col min="2" max="2" width="48" customWidth="1"/>
    <col min="3" max="3" width="15" customWidth="1"/>
    <col min="4" max="4" width="14" style="16" bestFit="1" customWidth="1"/>
    <col min="5" max="6" width="10.83203125" customWidth="1"/>
    <col min="7" max="16384" width="10.83203125" hidden="1"/>
  </cols>
  <sheetData>
    <row r="1" spans="1:4">
      <c r="A1" s="690" t="s">
        <v>138</v>
      </c>
      <c r="B1" s="691"/>
      <c r="C1" s="691"/>
      <c r="D1" s="692"/>
    </row>
    <row r="2" spans="1:4" ht="17">
      <c r="A2" s="693" t="s">
        <v>357</v>
      </c>
      <c r="B2" s="224" t="s">
        <v>823</v>
      </c>
      <c r="C2" s="225">
        <v>265000000</v>
      </c>
      <c r="D2" s="695">
        <f>ROUND(SUM(C2:C41),-3)</f>
        <v>410000000</v>
      </c>
    </row>
    <row r="3" spans="1:4" ht="15.75" customHeight="1">
      <c r="A3" s="694"/>
      <c r="B3" s="224" t="s">
        <v>824</v>
      </c>
      <c r="C3" s="225">
        <v>145000000</v>
      </c>
      <c r="D3" s="695"/>
    </row>
    <row r="4" spans="1:4" ht="15.75" customHeight="1">
      <c r="A4" s="694"/>
      <c r="B4" s="224"/>
      <c r="C4" s="225"/>
      <c r="D4" s="695"/>
    </row>
    <row r="5" spans="1:4" ht="15.75" customHeight="1">
      <c r="A5" s="694"/>
      <c r="B5" s="224"/>
      <c r="C5" s="225"/>
      <c r="D5" s="695"/>
    </row>
    <row r="6" spans="1:4" ht="15.75" customHeight="1">
      <c r="A6" s="694"/>
      <c r="B6" s="224"/>
      <c r="C6" s="225"/>
      <c r="D6" s="695"/>
    </row>
    <row r="7" spans="1:4" ht="15.75" customHeight="1">
      <c r="A7" s="694"/>
      <c r="B7" s="224"/>
      <c r="C7" s="225"/>
      <c r="D7" s="695"/>
    </row>
    <row r="8" spans="1:4" ht="15.75" customHeight="1">
      <c r="A8" s="694"/>
      <c r="B8" s="224"/>
      <c r="C8" s="225"/>
      <c r="D8" s="695"/>
    </row>
    <row r="9" spans="1:4" ht="15.75" customHeight="1">
      <c r="A9" s="694"/>
      <c r="B9" s="224"/>
      <c r="C9" s="225"/>
      <c r="D9" s="695"/>
    </row>
    <row r="10" spans="1:4" ht="15.75" customHeight="1">
      <c r="A10" s="694"/>
      <c r="B10" s="224"/>
      <c r="C10" s="225"/>
      <c r="D10" s="695"/>
    </row>
    <row r="11" spans="1:4" ht="15.75" customHeight="1">
      <c r="A11" s="694"/>
      <c r="B11" s="224"/>
      <c r="C11" s="225"/>
      <c r="D11" s="695"/>
    </row>
    <row r="12" spans="1:4" ht="15.75" customHeight="1">
      <c r="A12" s="694"/>
      <c r="B12" s="224"/>
      <c r="C12" s="225"/>
      <c r="D12" s="695"/>
    </row>
    <row r="13" spans="1:4" ht="15.75" customHeight="1">
      <c r="A13" s="694"/>
      <c r="B13" s="224"/>
      <c r="C13" s="199"/>
      <c r="D13" s="695"/>
    </row>
    <row r="14" spans="1:4" ht="15.75" customHeight="1">
      <c r="A14" s="694"/>
      <c r="B14" s="224"/>
      <c r="C14" s="199"/>
      <c r="D14" s="695"/>
    </row>
    <row r="15" spans="1:4" ht="15.75" customHeight="1">
      <c r="A15" s="694"/>
      <c r="B15" s="224"/>
      <c r="C15" s="199"/>
      <c r="D15" s="695"/>
    </row>
    <row r="16" spans="1:4" ht="15.75" customHeight="1">
      <c r="A16" s="694"/>
      <c r="B16" s="224"/>
      <c r="C16" s="199"/>
      <c r="D16" s="695"/>
    </row>
    <row r="17" spans="1:4" ht="15.75" customHeight="1">
      <c r="A17" s="694"/>
      <c r="B17" s="224"/>
      <c r="C17" s="199"/>
      <c r="D17" s="695"/>
    </row>
    <row r="18" spans="1:4" ht="15.75" customHeight="1">
      <c r="A18" s="694"/>
      <c r="B18" s="224"/>
      <c r="C18" s="199"/>
      <c r="D18" s="695"/>
    </row>
    <row r="19" spans="1:4" ht="15.75" customHeight="1">
      <c r="A19" s="694"/>
      <c r="B19" s="224"/>
      <c r="C19" s="199"/>
      <c r="D19" s="695"/>
    </row>
    <row r="20" spans="1:4" ht="15.75" customHeight="1">
      <c r="A20" s="694"/>
      <c r="B20" s="224"/>
      <c r="C20" s="199"/>
      <c r="D20" s="695"/>
    </row>
    <row r="21" spans="1:4" ht="15.75" customHeight="1">
      <c r="A21" s="694"/>
      <c r="B21" s="224"/>
      <c r="C21" s="199"/>
      <c r="D21" s="695"/>
    </row>
    <row r="22" spans="1:4" ht="15.75" customHeight="1">
      <c r="A22" s="694"/>
      <c r="B22" s="224"/>
      <c r="C22" s="199"/>
      <c r="D22" s="695"/>
    </row>
    <row r="23" spans="1:4" ht="15.75" customHeight="1">
      <c r="A23" s="694"/>
      <c r="B23" s="224"/>
      <c r="C23" s="199"/>
      <c r="D23" s="695"/>
    </row>
    <row r="24" spans="1:4" ht="15.75" customHeight="1">
      <c r="A24" s="694"/>
      <c r="B24" s="224"/>
      <c r="C24" s="199"/>
      <c r="D24" s="695"/>
    </row>
    <row r="25" spans="1:4" ht="15.75" customHeight="1">
      <c r="A25" s="694"/>
      <c r="B25" s="224"/>
      <c r="C25" s="218"/>
      <c r="D25" s="695"/>
    </row>
    <row r="26" spans="1:4" ht="15.75" customHeight="1">
      <c r="A26" s="694"/>
      <c r="B26" s="224"/>
      <c r="C26" s="218"/>
      <c r="D26" s="695"/>
    </row>
    <row r="27" spans="1:4" ht="15.75" customHeight="1">
      <c r="A27" s="694"/>
      <c r="B27" s="224"/>
      <c r="C27" s="218"/>
      <c r="D27" s="695"/>
    </row>
    <row r="28" spans="1:4" ht="15.75" customHeight="1">
      <c r="A28" s="694"/>
      <c r="B28" s="224"/>
      <c r="C28" s="218"/>
      <c r="D28" s="695"/>
    </row>
    <row r="29" spans="1:4">
      <c r="A29" s="694"/>
      <c r="B29" s="224"/>
      <c r="C29" s="218"/>
      <c r="D29" s="695"/>
    </row>
    <row r="30" spans="1:4">
      <c r="A30" s="694"/>
      <c r="B30" s="224"/>
      <c r="C30" s="218"/>
      <c r="D30" s="695"/>
    </row>
    <row r="31" spans="1:4">
      <c r="A31" s="694"/>
      <c r="B31" s="224"/>
      <c r="C31" s="218"/>
      <c r="D31" s="695"/>
    </row>
    <row r="32" spans="1:4">
      <c r="A32" s="694"/>
      <c r="B32" s="224"/>
      <c r="C32" s="218"/>
      <c r="D32" s="695"/>
    </row>
    <row r="33" spans="1:4">
      <c r="A33" s="694"/>
      <c r="B33" s="224"/>
      <c r="C33" s="218"/>
      <c r="D33" s="695"/>
    </row>
    <row r="34" spans="1:4">
      <c r="A34" s="694"/>
      <c r="B34" s="224"/>
      <c r="C34" s="218"/>
      <c r="D34" s="695"/>
    </row>
    <row r="35" spans="1:4">
      <c r="A35" s="694"/>
      <c r="B35" s="224"/>
      <c r="C35" s="218"/>
      <c r="D35" s="695"/>
    </row>
    <row r="36" spans="1:4">
      <c r="A36" s="694"/>
      <c r="B36" s="224"/>
      <c r="C36" s="218"/>
      <c r="D36" s="695"/>
    </row>
    <row r="37" spans="1:4">
      <c r="A37" s="694"/>
      <c r="B37" s="224"/>
      <c r="C37" s="218"/>
      <c r="D37" s="695"/>
    </row>
    <row r="38" spans="1:4">
      <c r="A38" s="694"/>
      <c r="B38" s="224"/>
      <c r="C38" s="218"/>
      <c r="D38" s="695"/>
    </row>
    <row r="39" spans="1:4">
      <c r="A39" s="694"/>
      <c r="B39" s="224"/>
      <c r="C39" s="218"/>
      <c r="D39" s="695"/>
    </row>
    <row r="40" spans="1:4">
      <c r="A40" s="694"/>
      <c r="B40" s="224"/>
      <c r="C40" s="218"/>
      <c r="D40" s="695"/>
    </row>
    <row r="41" spans="1:4">
      <c r="A41" s="694"/>
      <c r="B41" s="226"/>
      <c r="C41" s="218"/>
      <c r="D41" s="695"/>
    </row>
    <row r="42" spans="1:4"/>
    <row r="43" spans="1:4"/>
    <row r="44" spans="1:4"/>
    <row r="45" spans="1:4"/>
  </sheetData>
  <mergeCells count="3">
    <mergeCell ref="A1:D1"/>
    <mergeCell ref="A2:A41"/>
    <mergeCell ref="D2:D41"/>
  </mergeCells>
  <hyperlinks>
    <hyperlink ref="A2:A41" location="'FORMULARIO 210'!S14" display="Renglón 30" xr:uid="{00000000-0004-0000-0500-000000000000}"/>
  </hyperlink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tabColor rgb="FF0070C0"/>
  </sheetPr>
  <dimension ref="B1:M75"/>
  <sheetViews>
    <sheetView showGridLines="0" zoomScale="170" zoomScaleNormal="170" zoomScaleSheetLayoutView="133" workbookViewId="0">
      <pane xSplit="6" ySplit="2" topLeftCell="G58" activePane="bottomRight" state="frozen"/>
      <selection pane="topRight" activeCell="G1" sqref="G1"/>
      <selection pane="bottomLeft" activeCell="A3" sqref="A3"/>
      <selection pane="bottomRight" activeCell="J63" sqref="J63"/>
    </sheetView>
  </sheetViews>
  <sheetFormatPr baseColWidth="10" defaultColWidth="11.5" defaultRowHeight="16"/>
  <cols>
    <col min="1" max="1" width="3.5" style="5" customWidth="1"/>
    <col min="2" max="2" width="2.6640625" style="22" customWidth="1"/>
    <col min="3" max="3" width="39.5" style="5" customWidth="1"/>
    <col min="4" max="4" width="14.1640625" style="5" customWidth="1"/>
    <col min="5" max="5" width="13.6640625" style="5" customWidth="1"/>
    <col min="6" max="6" width="14" style="5" customWidth="1"/>
    <col min="7" max="7" width="14.33203125" style="5" customWidth="1"/>
    <col min="8" max="8" width="24.83203125" style="6" customWidth="1"/>
    <col min="9" max="9" width="2.83203125" style="5" customWidth="1"/>
    <col min="10" max="10" width="15.6640625" style="6" customWidth="1"/>
    <col min="11" max="11" width="15" style="5" customWidth="1"/>
    <col min="12" max="12" width="17.83203125" style="22" customWidth="1"/>
    <col min="13" max="13" width="18.5" style="5" bestFit="1" customWidth="1"/>
    <col min="14" max="14" width="24.1640625" style="5" customWidth="1"/>
    <col min="15" max="16384" width="11.5" style="5"/>
  </cols>
  <sheetData>
    <row r="1" spans="2:13">
      <c r="B1" s="724" t="s">
        <v>321</v>
      </c>
      <c r="C1" s="725"/>
      <c r="D1" s="725"/>
      <c r="E1" s="725"/>
      <c r="F1" s="725"/>
      <c r="G1" s="725"/>
      <c r="H1" s="725"/>
      <c r="I1" s="725"/>
      <c r="J1" s="725"/>
      <c r="K1" s="725"/>
      <c r="L1" s="725"/>
    </row>
    <row r="2" spans="2:13" ht="45" customHeight="1">
      <c r="B2" s="728"/>
      <c r="C2" s="745" t="s">
        <v>42</v>
      </c>
      <c r="D2" s="746"/>
      <c r="E2" s="746"/>
      <c r="F2" s="747"/>
      <c r="G2" s="766" t="s">
        <v>30</v>
      </c>
      <c r="H2" s="767"/>
      <c r="I2" s="728" t="s">
        <v>330</v>
      </c>
      <c r="J2" s="726" t="s">
        <v>306</v>
      </c>
      <c r="K2" s="727"/>
      <c r="L2" s="727"/>
    </row>
    <row r="3" spans="2:13">
      <c r="B3" s="729"/>
      <c r="C3" s="208" t="s">
        <v>240</v>
      </c>
      <c r="D3" s="91"/>
      <c r="E3" s="91"/>
      <c r="F3" s="91"/>
      <c r="G3" s="92"/>
      <c r="H3" s="155">
        <f>G4/12</f>
        <v>13333333.333333334</v>
      </c>
      <c r="I3" s="729"/>
      <c r="J3" s="212"/>
      <c r="K3" s="201"/>
      <c r="L3" s="203"/>
    </row>
    <row r="4" spans="2:13" ht="16" customHeight="1">
      <c r="B4" s="729"/>
      <c r="C4" s="740" t="s">
        <v>477</v>
      </c>
      <c r="D4" s="741"/>
      <c r="E4" s="741"/>
      <c r="F4" s="742"/>
      <c r="G4" s="199">
        <v>160000000</v>
      </c>
      <c r="H4" s="737">
        <f>ROUND(SUM(G4:G19),-3)</f>
        <v>260333000</v>
      </c>
      <c r="I4" s="729"/>
      <c r="J4" s="706"/>
      <c r="K4" s="716"/>
      <c r="L4" s="737">
        <f>ROUND(SUM(J9:K19),-3)</f>
        <v>190000000</v>
      </c>
    </row>
    <row r="5" spans="2:13" ht="16" customHeight="1">
      <c r="B5" s="729"/>
      <c r="C5" s="740" t="s">
        <v>851</v>
      </c>
      <c r="D5" s="741"/>
      <c r="E5" s="741"/>
      <c r="F5" s="742"/>
      <c r="G5" s="199">
        <v>10000000</v>
      </c>
      <c r="H5" s="738"/>
      <c r="I5" s="729"/>
      <c r="J5" s="706"/>
      <c r="K5" s="716"/>
      <c r="L5" s="738"/>
    </row>
    <row r="6" spans="2:13">
      <c r="B6" s="729"/>
      <c r="C6" s="740" t="s">
        <v>237</v>
      </c>
      <c r="D6" s="741"/>
      <c r="E6" s="741"/>
      <c r="F6" s="742"/>
      <c r="G6" s="199">
        <f>G4/12</f>
        <v>13333333.333333334</v>
      </c>
      <c r="H6" s="738"/>
      <c r="I6" s="729"/>
      <c r="J6" s="706"/>
      <c r="K6" s="716"/>
      <c r="L6" s="738"/>
    </row>
    <row r="7" spans="2:13">
      <c r="B7" s="729"/>
      <c r="C7" s="740" t="s">
        <v>317</v>
      </c>
      <c r="D7" s="741"/>
      <c r="E7" s="741"/>
      <c r="F7" s="742"/>
      <c r="G7" s="199">
        <v>7000000</v>
      </c>
      <c r="H7" s="738"/>
      <c r="I7" s="729"/>
      <c r="J7" s="706"/>
      <c r="K7" s="716"/>
      <c r="L7" s="738"/>
    </row>
    <row r="8" spans="2:13">
      <c r="B8" s="729"/>
      <c r="C8" s="740" t="s">
        <v>235</v>
      </c>
      <c r="D8" s="741"/>
      <c r="E8" s="741"/>
      <c r="F8" s="742"/>
      <c r="G8" s="199"/>
      <c r="H8" s="738"/>
      <c r="I8" s="729"/>
      <c r="J8" s="706"/>
      <c r="K8" s="716"/>
      <c r="L8" s="738"/>
    </row>
    <row r="9" spans="2:13">
      <c r="B9" s="729"/>
      <c r="C9" s="740" t="s">
        <v>265</v>
      </c>
      <c r="D9" s="741"/>
      <c r="E9" s="741"/>
      <c r="F9" s="742"/>
      <c r="G9" s="199">
        <v>70000000</v>
      </c>
      <c r="H9" s="738"/>
      <c r="I9" s="729"/>
      <c r="J9" s="717">
        <v>190000000</v>
      </c>
      <c r="K9" s="718"/>
      <c r="L9" s="738"/>
      <c r="M9" s="5">
        <f>+G9*0.25</f>
        <v>17500000</v>
      </c>
    </row>
    <row r="10" spans="2:13">
      <c r="B10" s="729"/>
      <c r="C10" s="740" t="s">
        <v>315</v>
      </c>
      <c r="D10" s="741"/>
      <c r="E10" s="741"/>
      <c r="F10" s="742"/>
      <c r="G10" s="199"/>
      <c r="H10" s="738"/>
      <c r="I10" s="729"/>
      <c r="J10" s="733"/>
      <c r="K10" s="734"/>
      <c r="L10" s="738"/>
    </row>
    <row r="11" spans="2:13">
      <c r="B11" s="729"/>
      <c r="C11" s="740" t="s">
        <v>316</v>
      </c>
      <c r="D11" s="741"/>
      <c r="E11" s="741"/>
      <c r="F11" s="742"/>
      <c r="G11" s="199"/>
      <c r="H11" s="738"/>
      <c r="I11" s="729"/>
      <c r="J11" s="733"/>
      <c r="K11" s="734"/>
      <c r="L11" s="738"/>
    </row>
    <row r="12" spans="2:13">
      <c r="B12" s="729"/>
      <c r="C12" s="719" t="s">
        <v>797</v>
      </c>
      <c r="D12" s="720"/>
      <c r="E12" s="720"/>
      <c r="F12" s="721"/>
      <c r="G12" s="199">
        <v>0</v>
      </c>
      <c r="H12" s="738"/>
      <c r="I12" s="729"/>
      <c r="J12" s="733"/>
      <c r="K12" s="734"/>
      <c r="L12" s="738"/>
    </row>
    <row r="13" spans="2:13">
      <c r="B13" s="729"/>
      <c r="C13" s="719"/>
      <c r="D13" s="720"/>
      <c r="E13" s="720"/>
      <c r="F13" s="721"/>
      <c r="G13" s="200"/>
      <c r="H13" s="738"/>
      <c r="I13" s="729"/>
      <c r="J13" s="733"/>
      <c r="K13" s="734"/>
      <c r="L13" s="738"/>
    </row>
    <row r="14" spans="2:13">
      <c r="B14" s="729"/>
      <c r="C14" s="719"/>
      <c r="D14" s="720"/>
      <c r="E14" s="720"/>
      <c r="F14" s="721"/>
      <c r="G14" s="200"/>
      <c r="H14" s="738"/>
      <c r="I14" s="729"/>
      <c r="J14" s="733"/>
      <c r="K14" s="734"/>
      <c r="L14" s="738"/>
    </row>
    <row r="15" spans="2:13">
      <c r="B15" s="729"/>
      <c r="C15" s="719"/>
      <c r="D15" s="720"/>
      <c r="E15" s="720"/>
      <c r="F15" s="721"/>
      <c r="G15" s="200"/>
      <c r="H15" s="738"/>
      <c r="I15" s="729"/>
      <c r="J15" s="733"/>
      <c r="K15" s="734"/>
      <c r="L15" s="738"/>
    </row>
    <row r="16" spans="2:13">
      <c r="B16" s="729"/>
      <c r="C16" s="719"/>
      <c r="D16" s="720"/>
      <c r="E16" s="720"/>
      <c r="F16" s="721"/>
      <c r="G16" s="200"/>
      <c r="H16" s="738"/>
      <c r="I16" s="729"/>
      <c r="J16" s="733"/>
      <c r="K16" s="734"/>
      <c r="L16" s="738"/>
    </row>
    <row r="17" spans="2:12">
      <c r="B17" s="729"/>
      <c r="C17" s="719"/>
      <c r="D17" s="720"/>
      <c r="E17" s="720"/>
      <c r="F17" s="721"/>
      <c r="G17" s="200"/>
      <c r="H17" s="738"/>
      <c r="I17" s="729"/>
      <c r="J17" s="733"/>
      <c r="K17" s="734"/>
      <c r="L17" s="738"/>
    </row>
    <row r="18" spans="2:12">
      <c r="B18" s="729"/>
      <c r="C18" s="719"/>
      <c r="D18" s="720"/>
      <c r="E18" s="720"/>
      <c r="F18" s="721"/>
      <c r="G18" s="200"/>
      <c r="H18" s="738"/>
      <c r="I18" s="729"/>
      <c r="J18" s="733"/>
      <c r="K18" s="734"/>
      <c r="L18" s="738"/>
    </row>
    <row r="19" spans="2:12">
      <c r="B19" s="730"/>
      <c r="C19" s="719"/>
      <c r="D19" s="720"/>
      <c r="E19" s="720"/>
      <c r="F19" s="721"/>
      <c r="G19" s="200"/>
      <c r="H19" s="739"/>
      <c r="I19" s="730"/>
      <c r="J19" s="733"/>
      <c r="K19" s="734"/>
      <c r="L19" s="739"/>
    </row>
    <row r="20" spans="2:12">
      <c r="B20" s="731" t="s">
        <v>173</v>
      </c>
      <c r="C20" s="732"/>
      <c r="D20" s="732"/>
      <c r="E20" s="732"/>
      <c r="F20" s="732"/>
      <c r="G20" s="732"/>
      <c r="H20" s="732"/>
      <c r="I20" s="732"/>
      <c r="J20" s="732"/>
      <c r="K20" s="732"/>
      <c r="L20" s="732"/>
    </row>
    <row r="21" spans="2:12" ht="16" customHeight="1">
      <c r="B21" s="729"/>
      <c r="C21" s="740" t="s">
        <v>185</v>
      </c>
      <c r="D21" s="741"/>
      <c r="E21" s="741"/>
      <c r="F21" s="742"/>
      <c r="G21" s="317">
        <f>G4*5%</f>
        <v>8000000</v>
      </c>
      <c r="H21" s="737">
        <f>ROUND(SUM(G21:G32),-3)</f>
        <v>14400000</v>
      </c>
      <c r="I21" s="729" t="s">
        <v>331</v>
      </c>
      <c r="J21" s="706"/>
      <c r="K21" s="716"/>
      <c r="L21" s="737">
        <f>J22+K24+J25+J26+J27+J28+J29+J30+J31+J32</f>
        <v>22300000</v>
      </c>
    </row>
    <row r="22" spans="2:12">
      <c r="B22" s="729"/>
      <c r="C22" s="740" t="s">
        <v>852</v>
      </c>
      <c r="D22" s="741"/>
      <c r="E22" s="741"/>
      <c r="F22" s="742"/>
      <c r="G22" s="317"/>
      <c r="H22" s="738"/>
      <c r="I22" s="729"/>
      <c r="J22" s="733"/>
      <c r="K22" s="734"/>
      <c r="L22" s="738"/>
    </row>
    <row r="23" spans="2:12">
      <c r="B23" s="729"/>
      <c r="C23" s="740" t="s">
        <v>31</v>
      </c>
      <c r="D23" s="741"/>
      <c r="E23" s="741"/>
      <c r="F23" s="742"/>
      <c r="G23" s="317">
        <f>G4*4%</f>
        <v>6400000</v>
      </c>
      <c r="H23" s="738"/>
      <c r="I23" s="729"/>
      <c r="J23" s="706"/>
      <c r="K23" s="716"/>
      <c r="L23" s="738"/>
    </row>
    <row r="24" spans="2:12">
      <c r="B24" s="729"/>
      <c r="C24" s="740" t="s">
        <v>215</v>
      </c>
      <c r="D24" s="741"/>
      <c r="E24" s="742"/>
      <c r="F24" s="204"/>
      <c r="G24" s="66">
        <f>Sheet1!U15</f>
        <v>0</v>
      </c>
      <c r="H24" s="738"/>
      <c r="I24" s="729"/>
      <c r="J24" s="214"/>
      <c r="K24" s="235">
        <f>Sheet1!V17</f>
        <v>0</v>
      </c>
      <c r="L24" s="738"/>
    </row>
    <row r="25" spans="2:12">
      <c r="B25" s="729"/>
      <c r="C25" s="740" t="s">
        <v>218</v>
      </c>
      <c r="D25" s="741"/>
      <c r="E25" s="741"/>
      <c r="F25" s="742"/>
      <c r="G25" s="317"/>
      <c r="H25" s="738"/>
      <c r="I25" s="729"/>
      <c r="J25" s="717">
        <v>12000000</v>
      </c>
      <c r="K25" s="718"/>
      <c r="L25" s="738"/>
    </row>
    <row r="26" spans="2:12">
      <c r="B26" s="729"/>
      <c r="C26" s="740" t="s">
        <v>219</v>
      </c>
      <c r="D26" s="741"/>
      <c r="E26" s="741"/>
      <c r="F26" s="742"/>
      <c r="G26" s="317"/>
      <c r="H26" s="738"/>
      <c r="I26" s="729"/>
      <c r="J26" s="717">
        <v>10300000</v>
      </c>
      <c r="K26" s="718"/>
      <c r="L26" s="738"/>
    </row>
    <row r="27" spans="2:12">
      <c r="B27" s="729"/>
      <c r="C27" s="740" t="s">
        <v>790</v>
      </c>
      <c r="D27" s="741"/>
      <c r="E27" s="741"/>
      <c r="F27" s="742"/>
      <c r="G27" s="317"/>
      <c r="H27" s="738"/>
      <c r="I27" s="729"/>
      <c r="J27" s="717"/>
      <c r="K27" s="718"/>
      <c r="L27" s="738"/>
    </row>
    <row r="28" spans="2:12">
      <c r="B28" s="729"/>
      <c r="C28" s="703" t="s">
        <v>318</v>
      </c>
      <c r="D28" s="743"/>
      <c r="E28" s="743"/>
      <c r="F28" s="744"/>
      <c r="G28" s="200"/>
      <c r="H28" s="738"/>
      <c r="I28" s="729"/>
      <c r="J28" s="717"/>
      <c r="K28" s="718"/>
      <c r="L28" s="738"/>
    </row>
    <row r="29" spans="2:12">
      <c r="B29" s="729"/>
      <c r="C29" s="703" t="s">
        <v>319</v>
      </c>
      <c r="D29" s="743"/>
      <c r="E29" s="743"/>
      <c r="F29" s="744"/>
      <c r="G29" s="200"/>
      <c r="H29" s="738"/>
      <c r="I29" s="729"/>
      <c r="J29" s="733"/>
      <c r="K29" s="734"/>
      <c r="L29" s="738"/>
    </row>
    <row r="30" spans="2:12">
      <c r="B30" s="729"/>
      <c r="C30" s="703" t="s">
        <v>368</v>
      </c>
      <c r="D30" s="743"/>
      <c r="E30" s="743"/>
      <c r="F30" s="744"/>
      <c r="G30" s="200"/>
      <c r="H30" s="738"/>
      <c r="I30" s="729"/>
      <c r="J30" s="733"/>
      <c r="K30" s="734"/>
      <c r="L30" s="738"/>
    </row>
    <row r="31" spans="2:12">
      <c r="B31" s="729"/>
      <c r="C31" s="748"/>
      <c r="D31" s="749"/>
      <c r="E31" s="749"/>
      <c r="F31" s="750"/>
      <c r="G31" s="200"/>
      <c r="H31" s="738"/>
      <c r="I31" s="729"/>
      <c r="J31" s="733"/>
      <c r="K31" s="734"/>
      <c r="L31" s="738"/>
    </row>
    <row r="32" spans="2:12">
      <c r="B32" s="730"/>
      <c r="C32" s="748"/>
      <c r="D32" s="749"/>
      <c r="E32" s="749"/>
      <c r="F32" s="750"/>
      <c r="G32" s="200"/>
      <c r="H32" s="739"/>
      <c r="I32" s="730"/>
      <c r="J32" s="733"/>
      <c r="K32" s="734"/>
      <c r="L32" s="739"/>
    </row>
    <row r="33" spans="2:12" ht="16" customHeight="1">
      <c r="B33" s="90" t="s">
        <v>322</v>
      </c>
      <c r="C33" s="91"/>
      <c r="D33" s="91"/>
      <c r="E33" s="91"/>
      <c r="F33" s="91"/>
      <c r="G33" s="91"/>
      <c r="H33" s="92"/>
      <c r="I33" s="91"/>
      <c r="J33" s="91"/>
      <c r="K33" s="91"/>
      <c r="L33" s="92"/>
    </row>
    <row r="34" spans="2:12" ht="16" customHeight="1">
      <c r="B34" s="722"/>
      <c r="C34" s="719"/>
      <c r="D34" s="720"/>
      <c r="E34" s="720"/>
      <c r="F34" s="721"/>
      <c r="G34" s="195"/>
      <c r="H34" s="696">
        <v>0</v>
      </c>
      <c r="I34" s="729" t="s">
        <v>332</v>
      </c>
      <c r="J34" s="717"/>
      <c r="K34" s="718"/>
      <c r="L34" s="696">
        <f>ROUND(MIN(SUM(J34:K47),K9),-3)</f>
        <v>83000000</v>
      </c>
    </row>
    <row r="35" spans="2:12">
      <c r="B35" s="722"/>
      <c r="C35" s="719"/>
      <c r="D35" s="720"/>
      <c r="E35" s="720"/>
      <c r="F35" s="721"/>
      <c r="G35" s="195"/>
      <c r="H35" s="697"/>
      <c r="I35" s="729"/>
      <c r="J35" s="717"/>
      <c r="K35" s="718"/>
      <c r="L35" s="697"/>
    </row>
    <row r="36" spans="2:12">
      <c r="B36" s="722"/>
      <c r="C36" s="719" t="s">
        <v>479</v>
      </c>
      <c r="D36" s="720"/>
      <c r="E36" s="720"/>
      <c r="F36" s="721"/>
      <c r="G36" s="196"/>
      <c r="H36" s="697"/>
      <c r="I36" s="729"/>
      <c r="J36" s="717">
        <v>83000000</v>
      </c>
      <c r="K36" s="718"/>
      <c r="L36" s="697"/>
    </row>
    <row r="37" spans="2:12">
      <c r="B37" s="722"/>
      <c r="C37" s="719"/>
      <c r="D37" s="720"/>
      <c r="E37" s="720"/>
      <c r="F37" s="721"/>
      <c r="G37" s="195"/>
      <c r="H37" s="697"/>
      <c r="I37" s="729"/>
      <c r="J37" s="717"/>
      <c r="K37" s="718"/>
      <c r="L37" s="697"/>
    </row>
    <row r="38" spans="2:12">
      <c r="B38" s="722"/>
      <c r="C38" s="719"/>
      <c r="D38" s="720"/>
      <c r="E38" s="720"/>
      <c r="F38" s="721"/>
      <c r="G38" s="195"/>
      <c r="H38" s="697"/>
      <c r="I38" s="729"/>
      <c r="J38" s="717"/>
      <c r="K38" s="718"/>
      <c r="L38" s="697"/>
    </row>
    <row r="39" spans="2:12">
      <c r="B39" s="722"/>
      <c r="C39" s="719"/>
      <c r="D39" s="720"/>
      <c r="E39" s="720"/>
      <c r="F39" s="721"/>
      <c r="G39" s="195"/>
      <c r="H39" s="697"/>
      <c r="I39" s="729"/>
      <c r="J39" s="717"/>
      <c r="K39" s="718"/>
      <c r="L39" s="697"/>
    </row>
    <row r="40" spans="2:12">
      <c r="B40" s="722"/>
      <c r="C40" s="719"/>
      <c r="D40" s="720"/>
      <c r="E40" s="720"/>
      <c r="F40" s="721"/>
      <c r="G40" s="195"/>
      <c r="H40" s="697"/>
      <c r="I40" s="729"/>
      <c r="J40" s="717"/>
      <c r="K40" s="718"/>
      <c r="L40" s="697"/>
    </row>
    <row r="41" spans="2:12">
      <c r="B41" s="722"/>
      <c r="C41" s="719"/>
      <c r="D41" s="720"/>
      <c r="E41" s="720"/>
      <c r="F41" s="721"/>
      <c r="G41" s="195"/>
      <c r="H41" s="697"/>
      <c r="I41" s="729"/>
      <c r="J41" s="733"/>
      <c r="K41" s="734"/>
      <c r="L41" s="697"/>
    </row>
    <row r="42" spans="2:12">
      <c r="B42" s="722"/>
      <c r="C42" s="719"/>
      <c r="D42" s="720"/>
      <c r="E42" s="720"/>
      <c r="F42" s="721"/>
      <c r="G42" s="195"/>
      <c r="H42" s="697"/>
      <c r="I42" s="729"/>
      <c r="J42" s="733"/>
      <c r="K42" s="734"/>
      <c r="L42" s="697"/>
    </row>
    <row r="43" spans="2:12">
      <c r="B43" s="722"/>
      <c r="C43" s="719"/>
      <c r="D43" s="720"/>
      <c r="E43" s="720"/>
      <c r="F43" s="721"/>
      <c r="G43" s="195"/>
      <c r="H43" s="697"/>
      <c r="I43" s="729"/>
      <c r="J43" s="733"/>
      <c r="K43" s="734"/>
      <c r="L43" s="697"/>
    </row>
    <row r="44" spans="2:12">
      <c r="B44" s="722"/>
      <c r="C44" s="719"/>
      <c r="D44" s="720"/>
      <c r="E44" s="720"/>
      <c r="F44" s="721"/>
      <c r="G44" s="195"/>
      <c r="H44" s="697"/>
      <c r="I44" s="729"/>
      <c r="J44" s="733"/>
      <c r="K44" s="734"/>
      <c r="L44" s="697"/>
    </row>
    <row r="45" spans="2:12">
      <c r="B45" s="722"/>
      <c r="C45" s="719"/>
      <c r="D45" s="720"/>
      <c r="E45" s="720"/>
      <c r="F45" s="721"/>
      <c r="G45" s="195"/>
      <c r="H45" s="697"/>
      <c r="I45" s="729"/>
      <c r="J45" s="733"/>
      <c r="K45" s="734"/>
      <c r="L45" s="697"/>
    </row>
    <row r="46" spans="2:12">
      <c r="B46" s="722"/>
      <c r="C46" s="719"/>
      <c r="D46" s="720"/>
      <c r="E46" s="720"/>
      <c r="F46" s="721"/>
      <c r="G46" s="195"/>
      <c r="H46" s="697"/>
      <c r="I46" s="729"/>
      <c r="J46" s="733"/>
      <c r="K46" s="734"/>
      <c r="L46" s="697"/>
    </row>
    <row r="47" spans="2:12">
      <c r="B47" s="722"/>
      <c r="C47" s="719"/>
      <c r="D47" s="720"/>
      <c r="E47" s="720"/>
      <c r="F47" s="721"/>
      <c r="G47" s="195"/>
      <c r="H47" s="698"/>
      <c r="I47" s="729"/>
      <c r="J47" s="733"/>
      <c r="K47" s="734"/>
      <c r="L47" s="698"/>
    </row>
    <row r="48" spans="2:12">
      <c r="B48" s="723"/>
      <c r="C48" s="757" t="s">
        <v>48</v>
      </c>
      <c r="D48" s="758"/>
      <c r="E48" s="758"/>
      <c r="F48" s="759"/>
      <c r="G48" s="198"/>
      <c r="H48" s="67">
        <f>SUM(H34:H47)</f>
        <v>0</v>
      </c>
      <c r="I48" s="730"/>
      <c r="J48" s="735"/>
      <c r="K48" s="736"/>
      <c r="L48" s="67">
        <f>SUM(L34)</f>
        <v>83000000</v>
      </c>
    </row>
    <row r="49" spans="2:12">
      <c r="B49" s="90" t="s">
        <v>125</v>
      </c>
      <c r="C49" s="211"/>
      <c r="D49" s="211"/>
      <c r="E49" s="211"/>
      <c r="F49" s="211"/>
      <c r="G49" s="211"/>
      <c r="H49" s="211"/>
      <c r="I49" s="211"/>
      <c r="J49" s="211"/>
      <c r="K49" s="211"/>
      <c r="L49" s="211"/>
    </row>
    <row r="50" spans="2:12">
      <c r="B50" s="714"/>
      <c r="C50" s="740" t="s">
        <v>33</v>
      </c>
      <c r="D50" s="741"/>
      <c r="E50" s="742"/>
      <c r="F50" s="312">
        <v>12000000</v>
      </c>
      <c r="G50" s="768">
        <f>Sheet1!S9</f>
        <v>22000000</v>
      </c>
      <c r="H50" s="708">
        <f>ROUND(SUM(G50:G67),-3)</f>
        <v>112609000</v>
      </c>
      <c r="I50" s="714" t="s">
        <v>333</v>
      </c>
      <c r="J50" s="214">
        <v>0</v>
      </c>
      <c r="K50" s="699">
        <f>Sheet1!S18</f>
        <v>0</v>
      </c>
      <c r="L50" s="711">
        <f>ROUND(SUM(K52:K67),-3)</f>
        <v>18000000</v>
      </c>
    </row>
    <row r="51" spans="2:12">
      <c r="B51" s="714"/>
      <c r="C51" s="740" t="s">
        <v>320</v>
      </c>
      <c r="D51" s="741"/>
      <c r="E51" s="742"/>
      <c r="F51" s="312">
        <v>10000000</v>
      </c>
      <c r="G51" s="770"/>
      <c r="H51" s="709"/>
      <c r="I51" s="714"/>
      <c r="J51" s="214"/>
      <c r="K51" s="700"/>
      <c r="L51" s="712"/>
    </row>
    <row r="52" spans="2:12" ht="15" customHeight="1">
      <c r="B52" s="701"/>
      <c r="C52" s="740" t="s">
        <v>237</v>
      </c>
      <c r="D52" s="741"/>
      <c r="E52" s="742"/>
      <c r="F52" s="66">
        <f>G6</f>
        <v>13333333.333333334</v>
      </c>
      <c r="G52" s="768">
        <f>IF(AND(Sheet1!K14&gt;Sheet1!I7,(Sheet1!K14&lt;Sheet1!K7)),Sheet1!K15*Sheet1!P7,IF(AND(Sheet1!K14&gt;Sheet1!I8,(Sheet1!K14&lt;Sheet1!K8)),Sheet1!K15*Sheet1!P8,IF(AND(Sheet1!K14&gt;Sheet1!I9,(Sheet1!K14&lt;Sheet1!K9)),Sheet1!K15*Sheet1!P9,IF(AND(Sheet1!K14&gt;Sheet1!I9,(Sheet1!K14&lt;Sheet1!K9)),Sheet1!K15*Sheet1!P9,IF(AND(Sheet1!K14&gt;Sheet1!I10,(Sheet1!K14&lt;Sheet1!K10)),Sheet1!K15*Sheet1!P10,IF(AND(Sheet1!K14&gt;Sheet1!I11,(Sheet1!K14&lt;Sheet1!K11)),Sheet1!K15*Sheet1!P11,IF(AND(Sheet1!K14&gt;Sheet1!I12,(Sheet1!K14&lt;Sheet1!K12)),Sheet1!K15*Sheet1!P12,Sheet1!K15)))))))</f>
        <v>20333333.333333336</v>
      </c>
      <c r="H52" s="709"/>
      <c r="I52" s="701" t="s">
        <v>334</v>
      </c>
      <c r="J52" s="706"/>
      <c r="K52" s="716"/>
      <c r="L52" s="712"/>
    </row>
    <row r="53" spans="2:12" ht="15" customHeight="1">
      <c r="B53" s="701"/>
      <c r="C53" s="740" t="s">
        <v>236</v>
      </c>
      <c r="D53" s="741"/>
      <c r="E53" s="742"/>
      <c r="F53" s="66">
        <f>G7</f>
        <v>7000000</v>
      </c>
      <c r="G53" s="769"/>
      <c r="H53" s="709"/>
      <c r="I53" s="701"/>
      <c r="J53" s="706"/>
      <c r="K53" s="716"/>
      <c r="L53" s="712"/>
    </row>
    <row r="54" spans="2:12" ht="15" customHeight="1">
      <c r="B54" s="701"/>
      <c r="C54" s="740" t="s">
        <v>371</v>
      </c>
      <c r="D54" s="741"/>
      <c r="E54" s="742"/>
      <c r="F54" s="66">
        <f>G8</f>
        <v>0</v>
      </c>
      <c r="G54" s="770"/>
      <c r="H54" s="709"/>
      <c r="I54" s="701"/>
      <c r="J54" s="706"/>
      <c r="K54" s="716"/>
      <c r="L54" s="712"/>
    </row>
    <row r="55" spans="2:12" ht="15" customHeight="1">
      <c r="B55" s="701"/>
      <c r="C55" s="740" t="s">
        <v>241</v>
      </c>
      <c r="D55" s="741"/>
      <c r="E55" s="741"/>
      <c r="F55" s="742"/>
      <c r="G55" s="209"/>
      <c r="H55" s="709"/>
      <c r="I55" s="701"/>
      <c r="J55" s="706"/>
      <c r="K55" s="716"/>
      <c r="L55" s="712"/>
    </row>
    <row r="56" spans="2:12" ht="15" customHeight="1">
      <c r="B56" s="701"/>
      <c r="C56" s="740" t="s">
        <v>242</v>
      </c>
      <c r="D56" s="741"/>
      <c r="E56" s="741"/>
      <c r="F56" s="742"/>
      <c r="G56" s="209"/>
      <c r="H56" s="709"/>
      <c r="I56" s="701"/>
      <c r="J56" s="706"/>
      <c r="K56" s="716"/>
      <c r="L56" s="712"/>
    </row>
    <row r="57" spans="2:12" ht="15" customHeight="1">
      <c r="B57" s="701"/>
      <c r="C57" s="740" t="s">
        <v>243</v>
      </c>
      <c r="D57" s="741"/>
      <c r="E57" s="741"/>
      <c r="F57" s="742"/>
      <c r="G57" s="209"/>
      <c r="H57" s="709"/>
      <c r="I57" s="701"/>
      <c r="J57" s="706"/>
      <c r="K57" s="716"/>
      <c r="L57" s="712"/>
    </row>
    <row r="58" spans="2:12" ht="32.25" customHeight="1">
      <c r="B58" s="701"/>
      <c r="C58" s="763" t="s">
        <v>370</v>
      </c>
      <c r="D58" s="764"/>
      <c r="E58" s="764"/>
      <c r="F58" s="765"/>
      <c r="G58" s="209"/>
      <c r="H58" s="709"/>
      <c r="I58" s="701"/>
      <c r="J58" s="706"/>
      <c r="K58" s="716"/>
      <c r="L58" s="712"/>
    </row>
    <row r="59" spans="2:12">
      <c r="B59" s="701"/>
      <c r="C59" s="740" t="s">
        <v>369</v>
      </c>
      <c r="D59" s="741"/>
      <c r="E59" s="741"/>
      <c r="F59" s="742"/>
      <c r="G59" s="210"/>
      <c r="H59" s="709"/>
      <c r="I59" s="701"/>
      <c r="J59" s="706"/>
      <c r="K59" s="716"/>
      <c r="L59" s="712"/>
    </row>
    <row r="60" spans="2:12" ht="35.25" customHeight="1">
      <c r="B60" s="701"/>
      <c r="C60" s="763" t="s">
        <v>372</v>
      </c>
      <c r="D60" s="764"/>
      <c r="E60" s="764"/>
      <c r="F60" s="765"/>
      <c r="G60" s="209"/>
      <c r="H60" s="709"/>
      <c r="I60" s="701"/>
      <c r="J60" s="706"/>
      <c r="K60" s="716"/>
      <c r="L60" s="712"/>
    </row>
    <row r="61" spans="2:12" ht="29.25" customHeight="1">
      <c r="B61" s="701"/>
      <c r="C61" s="760" t="s">
        <v>373</v>
      </c>
      <c r="D61" s="761"/>
      <c r="E61" s="761"/>
      <c r="F61" s="762"/>
      <c r="G61" s="209"/>
      <c r="H61" s="709"/>
      <c r="I61" s="701"/>
      <c r="J61" s="706"/>
      <c r="K61" s="716"/>
      <c r="L61" s="712"/>
    </row>
    <row r="62" spans="2:12" ht="15" customHeight="1">
      <c r="B62" s="701"/>
      <c r="C62" s="754" t="s">
        <v>32</v>
      </c>
      <c r="D62" s="755"/>
      <c r="E62" s="755"/>
      <c r="F62" s="756"/>
      <c r="G62" s="362">
        <f>MIN((H4-H21-'R.trabajo y honorarios'!G52-G55-G56-G57-G58-G59-G60-G61-'R.trabajo y honorarios'!G50-G64-G65-G63)*25%,790*H74)</f>
        <v>39341210</v>
      </c>
      <c r="H62" s="709"/>
      <c r="I62" s="701"/>
      <c r="J62" s="706"/>
      <c r="K62" s="716"/>
      <c r="L62" s="712"/>
    </row>
    <row r="63" spans="2:12" ht="22" customHeight="1">
      <c r="B63" s="241"/>
      <c r="C63" s="754" t="s">
        <v>260</v>
      </c>
      <c r="D63" s="755"/>
      <c r="E63" s="756"/>
      <c r="F63" s="200">
        <v>0</v>
      </c>
      <c r="G63" s="66">
        <f>IF(F63&gt;(1200*H74),(1200*H74),F63)</f>
        <v>0</v>
      </c>
      <c r="H63" s="709"/>
      <c r="I63" s="241" t="s">
        <v>335</v>
      </c>
      <c r="J63" s="200">
        <v>18000000</v>
      </c>
      <c r="K63" s="66">
        <f>Sheet1!J46</f>
        <v>18000000</v>
      </c>
      <c r="L63" s="712"/>
    </row>
    <row r="64" spans="2:12">
      <c r="B64" s="715"/>
      <c r="C64" s="754" t="s">
        <v>34</v>
      </c>
      <c r="D64" s="755"/>
      <c r="E64" s="756"/>
      <c r="F64" s="200" t="s">
        <v>258</v>
      </c>
      <c r="G64" s="65">
        <f>IF(F64="Si",MIN(Sheet1!J49,Sheet1!J52),0)</f>
        <v>19122816</v>
      </c>
      <c r="H64" s="709"/>
      <c r="I64" s="714" t="s">
        <v>190</v>
      </c>
      <c r="J64" s="200" t="s">
        <v>470</v>
      </c>
      <c r="K64" s="65">
        <f>IF(J64="Si",MIN(Sheet1!J56,Sheet1!J52),0)</f>
        <v>0</v>
      </c>
      <c r="L64" s="712"/>
    </row>
    <row r="65" spans="2:13" ht="16" customHeight="1">
      <c r="B65" s="715"/>
      <c r="C65" s="754" t="s">
        <v>529</v>
      </c>
      <c r="D65" s="755"/>
      <c r="E65" s="756"/>
      <c r="F65" s="200">
        <v>11000000</v>
      </c>
      <c r="G65" s="66">
        <f>IF(F65&gt;(H74*192),(H74*192),F65)</f>
        <v>9561408</v>
      </c>
      <c r="H65" s="709"/>
      <c r="I65" s="714"/>
      <c r="J65" s="425">
        <v>0</v>
      </c>
      <c r="K65" s="66">
        <f>Sheet1!J62</f>
        <v>0</v>
      </c>
      <c r="L65" s="712"/>
    </row>
    <row r="66" spans="2:13" ht="15" customHeight="1">
      <c r="B66" s="715"/>
      <c r="C66" s="754" t="s">
        <v>41</v>
      </c>
      <c r="D66" s="755"/>
      <c r="E66" s="756"/>
      <c r="F66" s="200">
        <v>4500000</v>
      </c>
      <c r="G66" s="66">
        <f>F66/2</f>
        <v>2250000</v>
      </c>
      <c r="H66" s="709"/>
      <c r="I66" s="714"/>
      <c r="J66" s="360"/>
      <c r="K66" s="66">
        <f>J66/2</f>
        <v>0</v>
      </c>
      <c r="L66" s="712"/>
    </row>
    <row r="67" spans="2:13" ht="15" customHeight="1">
      <c r="B67" s="715"/>
      <c r="C67" s="754" t="s">
        <v>245</v>
      </c>
      <c r="D67" s="755"/>
      <c r="E67" s="756"/>
      <c r="F67" s="200">
        <v>0</v>
      </c>
      <c r="G67" s="66">
        <f>Sheet1!J72</f>
        <v>0</v>
      </c>
      <c r="H67" s="710"/>
      <c r="I67" s="714"/>
      <c r="J67" s="213"/>
      <c r="K67" s="66">
        <f>Sheet1!J75</f>
        <v>0</v>
      </c>
      <c r="L67" s="713"/>
    </row>
    <row r="68" spans="2:13">
      <c r="B68" s="216"/>
      <c r="C68" s="757" t="s">
        <v>48</v>
      </c>
      <c r="D68" s="758"/>
      <c r="E68" s="758"/>
      <c r="F68" s="759"/>
      <c r="G68" s="198"/>
      <c r="H68" s="67">
        <f>SUM(H50:H67)</f>
        <v>112609000</v>
      </c>
      <c r="I68" s="216"/>
      <c r="J68" s="67"/>
      <c r="K68" s="198"/>
      <c r="L68" s="67">
        <f>SUM(L50)</f>
        <v>18000000</v>
      </c>
    </row>
    <row r="69" spans="2:13">
      <c r="B69" s="5"/>
      <c r="H69" s="5"/>
      <c r="J69" s="5"/>
      <c r="L69" s="5"/>
    </row>
    <row r="70" spans="2:13">
      <c r="B70" s="701"/>
      <c r="C70" s="704" t="s">
        <v>292</v>
      </c>
      <c r="D70" s="705"/>
      <c r="E70" s="705"/>
      <c r="F70" s="705"/>
      <c r="G70" s="705"/>
      <c r="H70" s="705"/>
      <c r="I70" s="705"/>
      <c r="J70" s="705"/>
      <c r="K70" s="705"/>
      <c r="L70" s="705"/>
    </row>
    <row r="71" spans="2:13">
      <c r="B71" s="701"/>
      <c r="C71" s="702" t="s">
        <v>323</v>
      </c>
      <c r="D71" s="702"/>
      <c r="E71" s="703"/>
      <c r="F71" s="706"/>
      <c r="G71" s="707"/>
      <c r="H71" s="231"/>
      <c r="I71" s="231"/>
      <c r="J71" s="230"/>
      <c r="K71" s="215"/>
      <c r="L71" s="202">
        <f>K71</f>
        <v>0</v>
      </c>
    </row>
    <row r="72" spans="2:13">
      <c r="B72" s="5"/>
      <c r="H72" s="5"/>
      <c r="J72" s="5"/>
      <c r="L72" s="5"/>
    </row>
    <row r="73" spans="2:13">
      <c r="B73" s="5"/>
      <c r="H73" s="5"/>
      <c r="J73" s="5"/>
      <c r="L73" s="5"/>
    </row>
    <row r="74" spans="2:13">
      <c r="B74" s="751" t="s">
        <v>122</v>
      </c>
      <c r="C74" s="752"/>
      <c r="D74" s="752"/>
      <c r="E74" s="752"/>
      <c r="F74" s="753"/>
      <c r="G74" s="229"/>
      <c r="H74" s="155">
        <v>49799</v>
      </c>
      <c r="I74" s="6"/>
      <c r="K74" s="6"/>
      <c r="L74" s="6"/>
    </row>
    <row r="75" spans="2:13">
      <c r="I75" s="6"/>
      <c r="K75" s="6"/>
      <c r="L75" s="6"/>
      <c r="M75" s="22"/>
    </row>
  </sheetData>
  <mergeCells count="148">
    <mergeCell ref="C34:F34"/>
    <mergeCell ref="G2:H2"/>
    <mergeCell ref="C55:F55"/>
    <mergeCell ref="C56:F56"/>
    <mergeCell ref="C51:E51"/>
    <mergeCell ref="G52:G54"/>
    <mergeCell ref="C46:F46"/>
    <mergeCell ref="C47:F47"/>
    <mergeCell ref="G50:G51"/>
    <mergeCell ref="C53:E53"/>
    <mergeCell ref="C42:F42"/>
    <mergeCell ref="C43:F43"/>
    <mergeCell ref="C48:F48"/>
    <mergeCell ref="C36:F36"/>
    <mergeCell ref="C37:F37"/>
    <mergeCell ref="C38:F38"/>
    <mergeCell ref="C39:F39"/>
    <mergeCell ref="C40:F40"/>
    <mergeCell ref="C44:F44"/>
    <mergeCell ref="C45:F45"/>
    <mergeCell ref="C35:F35"/>
    <mergeCell ref="C31:F31"/>
    <mergeCell ref="B74:F74"/>
    <mergeCell ref="C65:E65"/>
    <mergeCell ref="C63:E63"/>
    <mergeCell ref="C66:E66"/>
    <mergeCell ref="C68:F68"/>
    <mergeCell ref="C52:E52"/>
    <mergeCell ref="C62:F62"/>
    <mergeCell ref="C64:E64"/>
    <mergeCell ref="C50:E50"/>
    <mergeCell ref="C67:E67"/>
    <mergeCell ref="C59:F59"/>
    <mergeCell ref="C54:E54"/>
    <mergeCell ref="C61:F61"/>
    <mergeCell ref="C57:F57"/>
    <mergeCell ref="C58:F58"/>
    <mergeCell ref="C60:F60"/>
    <mergeCell ref="B21:B32"/>
    <mergeCell ref="H4:H19"/>
    <mergeCell ref="H21:H32"/>
    <mergeCell ref="C22:F22"/>
    <mergeCell ref="C23:F23"/>
    <mergeCell ref="C25:F25"/>
    <mergeCell ref="B2:B19"/>
    <mergeCell ref="C4:F4"/>
    <mergeCell ref="C6:F6"/>
    <mergeCell ref="C8:F8"/>
    <mergeCell ref="C9:F9"/>
    <mergeCell ref="C10:F10"/>
    <mergeCell ref="C7:F7"/>
    <mergeCell ref="C5:F5"/>
    <mergeCell ref="C12:F12"/>
    <mergeCell ref="C13:F13"/>
    <mergeCell ref="C14:F14"/>
    <mergeCell ref="C17:F17"/>
    <mergeCell ref="C18:F18"/>
    <mergeCell ref="C2:F2"/>
    <mergeCell ref="C15:F15"/>
    <mergeCell ref="C16:F16"/>
    <mergeCell ref="C30:F30"/>
    <mergeCell ref="C32:F32"/>
    <mergeCell ref="J9:K9"/>
    <mergeCell ref="J4:K4"/>
    <mergeCell ref="J5:K5"/>
    <mergeCell ref="J6:K6"/>
    <mergeCell ref="J7:K7"/>
    <mergeCell ref="J8:K8"/>
    <mergeCell ref="L4:L19"/>
    <mergeCell ref="L21:L32"/>
    <mergeCell ref="C19:F19"/>
    <mergeCell ref="C24:E24"/>
    <mergeCell ref="C21:F21"/>
    <mergeCell ref="J21:K21"/>
    <mergeCell ref="J23:K23"/>
    <mergeCell ref="C11:F11"/>
    <mergeCell ref="C26:F26"/>
    <mergeCell ref="C27:F27"/>
    <mergeCell ref="C28:F28"/>
    <mergeCell ref="C29:F29"/>
    <mergeCell ref="J10:K10"/>
    <mergeCell ref="J11:K11"/>
    <mergeCell ref="J12:K12"/>
    <mergeCell ref="J13:K13"/>
    <mergeCell ref="J14:K14"/>
    <mergeCell ref="J15:K15"/>
    <mergeCell ref="J16:K16"/>
    <mergeCell ref="J17:K17"/>
    <mergeCell ref="J22:K22"/>
    <mergeCell ref="J27:K27"/>
    <mergeCell ref="J29:K29"/>
    <mergeCell ref="J31:K31"/>
    <mergeCell ref="J32:K32"/>
    <mergeCell ref="J34:K34"/>
    <mergeCell ref="J28:K28"/>
    <mergeCell ref="J30:K30"/>
    <mergeCell ref="J19:K19"/>
    <mergeCell ref="J18:K18"/>
    <mergeCell ref="J25:K25"/>
    <mergeCell ref="J26:K26"/>
    <mergeCell ref="B1:L1"/>
    <mergeCell ref="J2:L2"/>
    <mergeCell ref="I2:I19"/>
    <mergeCell ref="I21:I32"/>
    <mergeCell ref="I34:I48"/>
    <mergeCell ref="B20:L20"/>
    <mergeCell ref="J58:K58"/>
    <mergeCell ref="J59:K59"/>
    <mergeCell ref="J60:K60"/>
    <mergeCell ref="J53:K53"/>
    <mergeCell ref="J54:K54"/>
    <mergeCell ref="J55:K55"/>
    <mergeCell ref="J56:K56"/>
    <mergeCell ref="J57:K57"/>
    <mergeCell ref="J45:K45"/>
    <mergeCell ref="J46:K46"/>
    <mergeCell ref="J47:K47"/>
    <mergeCell ref="J52:K52"/>
    <mergeCell ref="J48:K48"/>
    <mergeCell ref="J40:K40"/>
    <mergeCell ref="J41:K41"/>
    <mergeCell ref="J42:K42"/>
    <mergeCell ref="J43:K43"/>
    <mergeCell ref="J44:K44"/>
    <mergeCell ref="L34:L47"/>
    <mergeCell ref="K50:K51"/>
    <mergeCell ref="B70:B71"/>
    <mergeCell ref="C71:E71"/>
    <mergeCell ref="C70:L70"/>
    <mergeCell ref="F71:G71"/>
    <mergeCell ref="H50:H67"/>
    <mergeCell ref="L50:L67"/>
    <mergeCell ref="B50:B51"/>
    <mergeCell ref="B52:B62"/>
    <mergeCell ref="B64:B67"/>
    <mergeCell ref="I50:I51"/>
    <mergeCell ref="I52:I62"/>
    <mergeCell ref="I64:I67"/>
    <mergeCell ref="J61:K61"/>
    <mergeCell ref="J62:K62"/>
    <mergeCell ref="J35:K35"/>
    <mergeCell ref="J36:K36"/>
    <mergeCell ref="J37:K37"/>
    <mergeCell ref="J38:K38"/>
    <mergeCell ref="J39:K39"/>
    <mergeCell ref="C41:F41"/>
    <mergeCell ref="H34:H47"/>
    <mergeCell ref="B34:B48"/>
  </mergeCells>
  <dataValidations count="1">
    <dataValidation type="list" allowBlank="1" showInputMessage="1" showErrorMessage="1" sqref="F64 J64" xr:uid="{00000000-0002-0000-0600-000000000000}">
      <formula1>"Si,No"</formula1>
    </dataValidation>
  </dataValidations>
  <hyperlinks>
    <hyperlink ref="I2:I19" location="'FORMULARIO 210'!M16" display="Renglón 43" xr:uid="{00000000-0004-0000-0600-000002000000}"/>
    <hyperlink ref="I21:I32" location="'FORMULARIO 210'!M18" display="Renglón 44" xr:uid="{00000000-0004-0000-0600-000003000000}"/>
    <hyperlink ref="I34:I48" location="'FORMULARIO 210'!M19" display="Renglón 45" xr:uid="{00000000-0004-0000-0600-000004000000}"/>
    <hyperlink ref="I50:I51" location="'FORMULARIO 210'!M22" display="R. 47" xr:uid="{00000000-0004-0000-0600-00000A000000}"/>
    <hyperlink ref="I52:I62" location="'FORMULARIO 210'!M23" display="Renglón 48" xr:uid="{00000000-0004-0000-0600-00000B000000}"/>
    <hyperlink ref="I63" location="'FORMULARIO 210'!M25" display="R. 50" xr:uid="{00000000-0004-0000-0600-00000C000000}"/>
    <hyperlink ref="I64:I67" location="'FORMULARIO 210'!M26" display="Renglón 51" xr:uid="{00000000-0004-0000-0600-00000D000000}"/>
  </hyperlinks>
  <pageMargins left="0.7" right="0.7" top="0.75" bottom="0.75" header="0.3" footer="0.3"/>
  <pageSetup scale="60" orientation="portrait" horizontalDpi="1200" verticalDpi="12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623A-59F7-A24A-9C6B-BFBE5D084928}">
  <sheetPr>
    <tabColor theme="3" tint="0.39997558519241921"/>
  </sheetPr>
  <dimension ref="B3:D19"/>
  <sheetViews>
    <sheetView showGridLines="0" zoomScale="230" zoomScaleNormal="230" workbookViewId="0">
      <selection activeCell="C4" sqref="C4"/>
    </sheetView>
  </sheetViews>
  <sheetFormatPr baseColWidth="10" defaultRowHeight="14"/>
  <cols>
    <col min="1" max="1" width="10.83203125" style="346"/>
    <col min="2" max="2" width="42" style="346" bestFit="1" customWidth="1"/>
    <col min="3" max="3" width="13.6640625" style="346" customWidth="1"/>
    <col min="4" max="4" width="12" style="346" bestFit="1" customWidth="1"/>
    <col min="5" max="16384" width="10.83203125" style="346"/>
  </cols>
  <sheetData>
    <row r="3" spans="2:4">
      <c r="B3" s="345" t="s">
        <v>558</v>
      </c>
      <c r="C3" s="372">
        <v>2</v>
      </c>
      <c r="D3" s="390" t="s">
        <v>716</v>
      </c>
    </row>
    <row r="4" spans="2:4" ht="15" customHeight="1">
      <c r="B4" s="345" t="s">
        <v>538</v>
      </c>
      <c r="C4" s="349">
        <f>72*47065</f>
        <v>3388680</v>
      </c>
    </row>
    <row r="5" spans="2:4" ht="15" customHeight="1">
      <c r="C5" s="350"/>
    </row>
    <row r="6" spans="2:4" ht="15" customHeight="1">
      <c r="B6" s="347" t="s">
        <v>515</v>
      </c>
      <c r="C6" s="351" t="s">
        <v>516</v>
      </c>
    </row>
    <row r="7" spans="2:4" ht="15" customHeight="1">
      <c r="B7" s="345" t="s">
        <v>518</v>
      </c>
      <c r="C7" s="349" cm="1">
        <f t="array" ref="C7">_xlfn.IFS(C3=1,C4,C3=2,C4,C3=3,C4,C3=4,C4,C3=0,0)</f>
        <v>3388680</v>
      </c>
    </row>
    <row r="8" spans="2:4" ht="15" customHeight="1">
      <c r="B8" s="345" t="s">
        <v>526</v>
      </c>
      <c r="C8" s="349" cm="1">
        <f t="array" ref="C8">0+_xlfn.IFS(C3=2,C4,C3=3,C4,C3=4,C4,C3=1,0,C3=0,0)</f>
        <v>3388680</v>
      </c>
    </row>
    <row r="9" spans="2:4" ht="15" customHeight="1">
      <c r="B9" s="345" t="s">
        <v>527</v>
      </c>
      <c r="C9" s="349" cm="1">
        <f t="array" ref="C9">0+_xlfn.IFS(C3=1,0,C3=2,0,C3=3,C4,C3=4,C4,C3=0,0)</f>
        <v>0</v>
      </c>
    </row>
    <row r="10" spans="2:4" ht="15" customHeight="1">
      <c r="B10" s="345" t="s">
        <v>528</v>
      </c>
      <c r="C10" s="349" cm="1">
        <f t="array" ref="C10">0+_xlfn.IFS(C3=1,0,C3=2,0,C3=3,0,C3=4,C4,C3=0,0)</f>
        <v>0</v>
      </c>
    </row>
    <row r="11" spans="2:4" ht="15" customHeight="1">
      <c r="B11" s="348" t="s">
        <v>517</v>
      </c>
      <c r="C11" s="352">
        <f>ROUND(SUM(C7:C10),-3)</f>
        <v>6777000</v>
      </c>
    </row>
    <row r="12" spans="2:4" ht="15" customHeight="1">
      <c r="D12" s="371">
        <f>72*47065</f>
        <v>3388680</v>
      </c>
    </row>
    <row r="14" spans="2:4">
      <c r="B14" s="771" t="s">
        <v>537</v>
      </c>
      <c r="C14" s="771"/>
    </row>
    <row r="15" spans="2:4">
      <c r="B15" s="771"/>
      <c r="C15" s="771"/>
    </row>
    <row r="16" spans="2:4">
      <c r="B16" s="771"/>
      <c r="C16" s="771"/>
    </row>
    <row r="17" spans="2:3">
      <c r="B17" s="771"/>
      <c r="C17" s="771"/>
    </row>
    <row r="18" spans="2:3">
      <c r="B18" s="771"/>
      <c r="C18" s="771"/>
    </row>
    <row r="19" spans="2:3">
      <c r="B19" s="771"/>
      <c r="C19" s="771"/>
    </row>
  </sheetData>
  <mergeCells count="1">
    <mergeCell ref="B14:C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CB4F-2014-A241-9323-FB461DCE4331}">
  <sheetPr>
    <tabColor theme="4"/>
  </sheetPr>
  <dimension ref="B2:K29"/>
  <sheetViews>
    <sheetView showGridLines="0" zoomScale="170" zoomScaleNormal="170" workbookViewId="0">
      <selection activeCell="D4" sqref="D4"/>
    </sheetView>
  </sheetViews>
  <sheetFormatPr baseColWidth="10" defaultRowHeight="15"/>
  <cols>
    <col min="1" max="1" width="5.1640625" style="99" customWidth="1"/>
    <col min="2" max="2" width="14.33203125" style="99" customWidth="1"/>
    <col min="3" max="3" width="27" style="99" customWidth="1"/>
    <col min="4" max="4" width="20" style="99" customWidth="1"/>
    <col min="5" max="7" width="10.83203125" style="99"/>
    <col min="8" max="8" width="13" style="99" bestFit="1" customWidth="1"/>
    <col min="9" max="9" width="14.1640625" style="99" customWidth="1"/>
    <col min="10" max="10" width="13.83203125" style="99" customWidth="1"/>
    <col min="11" max="16384" width="10.83203125" style="99"/>
  </cols>
  <sheetData>
    <row r="2" spans="2:11" ht="15" customHeight="1">
      <c r="B2" s="340" t="s">
        <v>512</v>
      </c>
      <c r="C2" s="340" t="s">
        <v>539</v>
      </c>
      <c r="D2" s="340" t="s">
        <v>513</v>
      </c>
      <c r="E2" s="773" t="s">
        <v>542</v>
      </c>
      <c r="F2" s="773"/>
      <c r="G2" s="773"/>
      <c r="H2" s="773"/>
      <c r="I2" s="773"/>
      <c r="J2" s="773"/>
      <c r="K2" s="773"/>
    </row>
    <row r="3" spans="2:11">
      <c r="B3" s="341"/>
      <c r="C3" s="355"/>
      <c r="D3" s="356">
        <f t="shared" ref="D3:D26" si="0">C3*1%</f>
        <v>0</v>
      </c>
      <c r="E3" s="773"/>
      <c r="F3" s="773"/>
      <c r="G3" s="773"/>
      <c r="H3" s="773"/>
      <c r="I3" s="773"/>
      <c r="J3" s="773"/>
      <c r="K3" s="773"/>
    </row>
    <row r="4" spans="2:11">
      <c r="B4" s="341"/>
      <c r="C4" s="356">
        <v>180000000</v>
      </c>
      <c r="D4" s="356">
        <f>C4*1%</f>
        <v>1800000</v>
      </c>
      <c r="E4" s="773"/>
      <c r="F4" s="773"/>
      <c r="G4" s="773"/>
      <c r="H4" s="773"/>
      <c r="I4" s="773"/>
      <c r="J4" s="773"/>
      <c r="K4" s="773"/>
    </row>
    <row r="5" spans="2:11">
      <c r="B5" s="341"/>
      <c r="C5" s="355"/>
      <c r="D5" s="356">
        <f t="shared" si="0"/>
        <v>0</v>
      </c>
      <c r="E5" s="773"/>
      <c r="F5" s="773"/>
      <c r="G5" s="773"/>
      <c r="H5" s="773"/>
      <c r="I5" s="773"/>
      <c r="J5" s="773"/>
      <c r="K5" s="773"/>
    </row>
    <row r="6" spans="2:11">
      <c r="B6" s="341"/>
      <c r="C6" s="355"/>
      <c r="D6" s="356">
        <f t="shared" si="0"/>
        <v>0</v>
      </c>
      <c r="E6" s="773"/>
      <c r="F6" s="773"/>
      <c r="G6" s="773"/>
      <c r="H6" s="773"/>
      <c r="I6" s="773"/>
      <c r="J6" s="773"/>
      <c r="K6" s="773"/>
    </row>
    <row r="7" spans="2:11">
      <c r="B7" s="341"/>
      <c r="C7" s="355"/>
      <c r="D7" s="356">
        <f t="shared" si="0"/>
        <v>0</v>
      </c>
      <c r="E7" s="773"/>
      <c r="F7" s="773"/>
      <c r="G7" s="773"/>
      <c r="H7" s="773"/>
      <c r="I7" s="773"/>
      <c r="J7" s="773"/>
      <c r="K7" s="773"/>
    </row>
    <row r="8" spans="2:11">
      <c r="B8" s="341"/>
      <c r="C8" s="355"/>
      <c r="D8" s="356">
        <f>C8*1%</f>
        <v>0</v>
      </c>
      <c r="E8" s="773"/>
      <c r="F8" s="773"/>
      <c r="G8" s="773"/>
      <c r="H8" s="773"/>
      <c r="I8" s="773"/>
      <c r="J8" s="773"/>
      <c r="K8" s="773"/>
    </row>
    <row r="9" spans="2:11">
      <c r="B9" s="341"/>
      <c r="C9" s="355"/>
      <c r="D9" s="356">
        <f t="shared" si="0"/>
        <v>0</v>
      </c>
      <c r="E9" s="773"/>
      <c r="F9" s="773"/>
      <c r="G9" s="773"/>
      <c r="H9" s="773"/>
      <c r="I9" s="773"/>
      <c r="J9" s="773"/>
      <c r="K9" s="773"/>
    </row>
    <row r="10" spans="2:11">
      <c r="B10" s="341"/>
      <c r="C10" s="355"/>
      <c r="D10" s="356">
        <f t="shared" si="0"/>
        <v>0</v>
      </c>
      <c r="E10" s="773"/>
      <c r="F10" s="773"/>
      <c r="G10" s="773"/>
      <c r="H10" s="773"/>
      <c r="I10" s="773"/>
      <c r="J10" s="773"/>
      <c r="K10" s="773"/>
    </row>
    <row r="11" spans="2:11">
      <c r="B11" s="341"/>
      <c r="C11" s="355"/>
      <c r="D11" s="356">
        <f t="shared" si="0"/>
        <v>0</v>
      </c>
      <c r="E11" s="773"/>
      <c r="F11" s="773"/>
      <c r="G11" s="773"/>
      <c r="H11" s="773"/>
      <c r="I11" s="773"/>
      <c r="J11" s="773"/>
      <c r="K11" s="773"/>
    </row>
    <row r="12" spans="2:11">
      <c r="B12" s="341"/>
      <c r="C12" s="355"/>
      <c r="D12" s="356">
        <f t="shared" si="0"/>
        <v>0</v>
      </c>
      <c r="E12" s="773"/>
      <c r="F12" s="773"/>
      <c r="G12" s="773"/>
      <c r="H12" s="773"/>
      <c r="I12" s="773"/>
      <c r="J12" s="773"/>
      <c r="K12" s="773"/>
    </row>
    <row r="13" spans="2:11">
      <c r="B13" s="341"/>
      <c r="C13" s="355"/>
      <c r="D13" s="356">
        <f t="shared" si="0"/>
        <v>0</v>
      </c>
      <c r="E13" s="773"/>
      <c r="F13" s="773"/>
      <c r="G13" s="773"/>
      <c r="H13" s="773"/>
      <c r="I13" s="773"/>
      <c r="J13" s="773"/>
      <c r="K13" s="773"/>
    </row>
    <row r="14" spans="2:11">
      <c r="B14" s="341"/>
      <c r="C14" s="355"/>
      <c r="D14" s="356">
        <f t="shared" si="0"/>
        <v>0</v>
      </c>
      <c r="E14" s="773"/>
      <c r="F14" s="773"/>
      <c r="G14" s="773"/>
      <c r="H14" s="773"/>
      <c r="I14" s="773"/>
      <c r="J14" s="773"/>
      <c r="K14" s="773"/>
    </row>
    <row r="15" spans="2:11">
      <c r="B15" s="341"/>
      <c r="C15" s="355"/>
      <c r="D15" s="356">
        <f t="shared" si="0"/>
        <v>0</v>
      </c>
      <c r="E15" s="773"/>
      <c r="F15" s="773"/>
      <c r="G15" s="773"/>
      <c r="H15" s="773"/>
      <c r="I15" s="773"/>
      <c r="J15" s="773"/>
      <c r="K15" s="773"/>
    </row>
    <row r="16" spans="2:11">
      <c r="B16" s="341"/>
      <c r="C16" s="355"/>
      <c r="D16" s="356">
        <f t="shared" si="0"/>
        <v>0</v>
      </c>
      <c r="E16" s="773"/>
      <c r="F16" s="773"/>
      <c r="G16" s="773"/>
      <c r="H16" s="773"/>
      <c r="I16" s="773"/>
      <c r="J16" s="773"/>
      <c r="K16" s="773"/>
    </row>
    <row r="17" spans="2:11">
      <c r="B17" s="341"/>
      <c r="C17" s="355"/>
      <c r="D17" s="356">
        <f t="shared" si="0"/>
        <v>0</v>
      </c>
      <c r="E17" s="773"/>
      <c r="F17" s="773"/>
      <c r="G17" s="773"/>
      <c r="H17" s="773"/>
      <c r="I17" s="773"/>
      <c r="J17" s="773"/>
      <c r="K17" s="773"/>
    </row>
    <row r="18" spans="2:11">
      <c r="B18" s="341"/>
      <c r="C18" s="355"/>
      <c r="D18" s="356">
        <f t="shared" si="0"/>
        <v>0</v>
      </c>
      <c r="E18" s="773"/>
      <c r="F18" s="773"/>
      <c r="G18" s="773"/>
      <c r="H18" s="773"/>
      <c r="I18" s="773"/>
      <c r="J18" s="773"/>
      <c r="K18" s="773"/>
    </row>
    <row r="19" spans="2:11">
      <c r="B19" s="341"/>
      <c r="C19" s="355"/>
      <c r="D19" s="356">
        <f t="shared" si="0"/>
        <v>0</v>
      </c>
      <c r="E19" s="773"/>
      <c r="F19" s="773"/>
      <c r="G19" s="773"/>
      <c r="H19" s="773"/>
      <c r="I19" s="773"/>
      <c r="J19" s="773"/>
      <c r="K19" s="773"/>
    </row>
    <row r="20" spans="2:11">
      <c r="B20" s="341"/>
      <c r="C20" s="355"/>
      <c r="D20" s="356">
        <f t="shared" si="0"/>
        <v>0</v>
      </c>
      <c r="E20" s="773"/>
      <c r="F20" s="773"/>
      <c r="G20" s="773"/>
      <c r="H20" s="773"/>
      <c r="I20" s="773"/>
      <c r="J20" s="773"/>
      <c r="K20" s="773"/>
    </row>
    <row r="21" spans="2:11">
      <c r="B21" s="341"/>
      <c r="C21" s="355"/>
      <c r="D21" s="356">
        <f t="shared" si="0"/>
        <v>0</v>
      </c>
      <c r="E21" s="773"/>
      <c r="F21" s="773"/>
      <c r="G21" s="773"/>
      <c r="H21" s="773"/>
      <c r="I21" s="773"/>
      <c r="J21" s="773"/>
      <c r="K21" s="773"/>
    </row>
    <row r="22" spans="2:11">
      <c r="B22" s="341"/>
      <c r="C22" s="355"/>
      <c r="D22" s="356">
        <f t="shared" si="0"/>
        <v>0</v>
      </c>
      <c r="E22" s="773"/>
      <c r="F22" s="773"/>
      <c r="G22" s="773"/>
      <c r="H22" s="773"/>
      <c r="I22" s="773"/>
      <c r="J22" s="773"/>
      <c r="K22" s="773"/>
    </row>
    <row r="23" spans="2:11">
      <c r="B23" s="341"/>
      <c r="C23" s="355"/>
      <c r="D23" s="356">
        <f t="shared" si="0"/>
        <v>0</v>
      </c>
      <c r="E23" s="773"/>
      <c r="F23" s="773"/>
      <c r="G23" s="773"/>
      <c r="H23" s="773"/>
      <c r="I23" s="773"/>
      <c r="J23" s="773"/>
      <c r="K23" s="773"/>
    </row>
    <row r="24" spans="2:11">
      <c r="B24" s="341"/>
      <c r="C24" s="355"/>
      <c r="D24" s="356">
        <f t="shared" si="0"/>
        <v>0</v>
      </c>
      <c r="E24" s="773"/>
      <c r="F24" s="773"/>
      <c r="G24" s="773"/>
      <c r="H24" s="773"/>
      <c r="I24" s="773"/>
      <c r="J24" s="773"/>
      <c r="K24" s="773"/>
    </row>
    <row r="25" spans="2:11">
      <c r="B25" s="341"/>
      <c r="C25" s="355"/>
      <c r="D25" s="356">
        <f t="shared" si="0"/>
        <v>0</v>
      </c>
      <c r="E25" s="773"/>
      <c r="F25" s="773"/>
      <c r="G25" s="773"/>
      <c r="H25" s="773"/>
      <c r="I25" s="773"/>
      <c r="J25" s="773"/>
      <c r="K25" s="773"/>
    </row>
    <row r="26" spans="2:11">
      <c r="B26" s="341"/>
      <c r="C26" s="355"/>
      <c r="D26" s="356">
        <f t="shared" si="0"/>
        <v>0</v>
      </c>
      <c r="E26" s="773"/>
      <c r="F26" s="773"/>
      <c r="G26" s="773"/>
      <c r="H26" s="773"/>
      <c r="I26" s="773"/>
      <c r="J26" s="773"/>
      <c r="K26" s="773"/>
    </row>
    <row r="27" spans="2:11">
      <c r="B27" s="772" t="s">
        <v>540</v>
      </c>
      <c r="C27" s="772"/>
      <c r="D27" s="357">
        <f>SUM(D3:D26)</f>
        <v>1800000</v>
      </c>
      <c r="E27" s="773"/>
      <c r="F27" s="773"/>
      <c r="G27" s="773"/>
      <c r="H27" s="773"/>
      <c r="I27" s="773"/>
      <c r="J27" s="773"/>
      <c r="K27" s="773"/>
    </row>
    <row r="28" spans="2:11">
      <c r="B28" s="772" t="s">
        <v>541</v>
      </c>
      <c r="C28" s="772"/>
      <c r="D28" s="358">
        <f>(240*49065)</f>
        <v>11775600</v>
      </c>
      <c r="E28" s="773"/>
      <c r="F28" s="773"/>
      <c r="G28" s="773"/>
      <c r="H28" s="773"/>
      <c r="I28" s="773"/>
      <c r="J28" s="773"/>
      <c r="K28" s="773"/>
    </row>
    <row r="29" spans="2:11">
      <c r="B29" s="772" t="s">
        <v>514</v>
      </c>
      <c r="C29" s="772"/>
      <c r="D29" s="359">
        <f>MIN(D27:D28)</f>
        <v>1800000</v>
      </c>
      <c r="E29" s="773"/>
      <c r="F29" s="773"/>
      <c r="G29" s="773"/>
      <c r="H29" s="773"/>
      <c r="I29" s="773"/>
      <c r="J29" s="773"/>
      <c r="K29" s="773"/>
    </row>
  </sheetData>
  <mergeCells count="4">
    <mergeCell ref="B27:C27"/>
    <mergeCell ref="B28:C28"/>
    <mergeCell ref="B29:C29"/>
    <mergeCell ref="E2:K2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tabColor rgb="FF0070C0"/>
  </sheetPr>
  <dimension ref="A1:I86"/>
  <sheetViews>
    <sheetView showGridLines="0" zoomScale="160" zoomScaleNormal="160" zoomScaleSheetLayoutView="145" workbookViewId="0">
      <pane ySplit="1" topLeftCell="A49" activePane="bottomLeft" state="frozen"/>
      <selection pane="bottomLeft" activeCell="C48" sqref="C48:E48"/>
    </sheetView>
  </sheetViews>
  <sheetFormatPr baseColWidth="10" defaultColWidth="0" defaultRowHeight="16" zeroHeight="1"/>
  <cols>
    <col min="1" max="1" width="6" style="38" customWidth="1"/>
    <col min="2" max="2" width="3.5" style="128" customWidth="1"/>
    <col min="3" max="3" width="38.1640625" style="72" customWidth="1"/>
    <col min="4" max="4" width="13.83203125" style="72" customWidth="1"/>
    <col min="5" max="5" width="14.5" style="72" bestFit="1" customWidth="1"/>
    <col min="6" max="6" width="19" style="72" customWidth="1"/>
    <col min="7" max="7" width="15.5" style="75" bestFit="1" customWidth="1"/>
    <col min="8" max="8" width="27.5" style="38" customWidth="1"/>
    <col min="9" max="9" width="12.5" style="38" hidden="1" customWidth="1"/>
    <col min="10" max="16384" width="11.5" style="38" hidden="1"/>
  </cols>
  <sheetData>
    <row r="1" spans="2:7">
      <c r="B1" s="782" t="s">
        <v>136</v>
      </c>
      <c r="C1" s="783"/>
      <c r="D1" s="783"/>
      <c r="E1" s="783"/>
      <c r="F1" s="783"/>
      <c r="G1" s="784"/>
    </row>
    <row r="2" spans="2:7" ht="14.25" customHeight="1">
      <c r="B2" s="729" t="s">
        <v>346</v>
      </c>
      <c r="C2" s="757" t="s">
        <v>456</v>
      </c>
      <c r="D2" s="758"/>
      <c r="E2" s="758"/>
      <c r="F2" s="759"/>
      <c r="G2" s="791">
        <f>ROUND((F3+F13+F21+F29),-3)</f>
        <v>109421000</v>
      </c>
    </row>
    <row r="3" spans="2:7" ht="14.25" customHeight="1">
      <c r="B3" s="729"/>
      <c r="C3" s="785"/>
      <c r="D3" s="785"/>
      <c r="E3" s="200"/>
      <c r="F3" s="737">
        <f>SUM(E3:E11)</f>
        <v>17340000</v>
      </c>
      <c r="G3" s="792"/>
    </row>
    <row r="4" spans="2:7" ht="14.25" customHeight="1">
      <c r="B4" s="729"/>
      <c r="C4" s="785" t="s">
        <v>825</v>
      </c>
      <c r="D4" s="785"/>
      <c r="E4" s="200">
        <v>12340000</v>
      </c>
      <c r="F4" s="738"/>
      <c r="G4" s="792"/>
    </row>
    <row r="5" spans="2:7" ht="14.25" customHeight="1">
      <c r="B5" s="729"/>
      <c r="C5" s="785" t="s">
        <v>826</v>
      </c>
      <c r="D5" s="785"/>
      <c r="E5" s="200">
        <v>5000000</v>
      </c>
      <c r="F5" s="738"/>
      <c r="G5" s="792"/>
    </row>
    <row r="6" spans="2:7" ht="14.25" customHeight="1">
      <c r="B6" s="729"/>
      <c r="C6" s="785"/>
      <c r="D6" s="785"/>
      <c r="E6" s="200"/>
      <c r="F6" s="738"/>
      <c r="G6" s="792"/>
    </row>
    <row r="7" spans="2:7" ht="14.25" customHeight="1">
      <c r="B7" s="729"/>
      <c r="C7" s="785"/>
      <c r="D7" s="785"/>
      <c r="E7" s="200"/>
      <c r="F7" s="738"/>
      <c r="G7" s="792"/>
    </row>
    <row r="8" spans="2:7" ht="14.25" customHeight="1">
      <c r="B8" s="729"/>
      <c r="C8" s="785"/>
      <c r="D8" s="785"/>
      <c r="E8" s="200"/>
      <c r="F8" s="738"/>
      <c r="G8" s="792"/>
    </row>
    <row r="9" spans="2:7" ht="14.25" customHeight="1">
      <c r="B9" s="729"/>
      <c r="C9" s="785"/>
      <c r="D9" s="785"/>
      <c r="E9" s="200"/>
      <c r="F9" s="738"/>
      <c r="G9" s="792"/>
    </row>
    <row r="10" spans="2:7" ht="14.25" customHeight="1">
      <c r="B10" s="729"/>
      <c r="C10" s="785"/>
      <c r="D10" s="785"/>
      <c r="E10" s="200"/>
      <c r="F10" s="738"/>
      <c r="G10" s="792"/>
    </row>
    <row r="11" spans="2:7" ht="14.25" customHeight="1">
      <c r="B11" s="729"/>
      <c r="C11" s="785"/>
      <c r="D11" s="785"/>
      <c r="E11" s="200"/>
      <c r="F11" s="739"/>
      <c r="G11" s="792"/>
    </row>
    <row r="12" spans="2:7" ht="14.25" customHeight="1">
      <c r="B12" s="729"/>
      <c r="C12" s="757" t="s">
        <v>457</v>
      </c>
      <c r="D12" s="758"/>
      <c r="E12" s="758"/>
      <c r="F12" s="759"/>
      <c r="G12" s="792"/>
    </row>
    <row r="13" spans="2:7" ht="14.25" customHeight="1">
      <c r="B13" s="729"/>
      <c r="C13" s="785"/>
      <c r="D13" s="785"/>
      <c r="E13" s="200"/>
      <c r="F13" s="778">
        <f>SUM(E13:E19)</f>
        <v>2081250</v>
      </c>
      <c r="G13" s="792"/>
    </row>
    <row r="14" spans="2:7" ht="14.25" customHeight="1">
      <c r="B14" s="729"/>
      <c r="C14" s="785"/>
      <c r="D14" s="785"/>
      <c r="E14" s="200"/>
      <c r="F14" s="779"/>
      <c r="G14" s="792"/>
    </row>
    <row r="15" spans="2:7" ht="14.25" customHeight="1">
      <c r="B15" s="729"/>
      <c r="C15" s="785"/>
      <c r="D15" s="785"/>
      <c r="E15" s="200"/>
      <c r="F15" s="779"/>
      <c r="G15" s="792"/>
    </row>
    <row r="16" spans="2:7" ht="14.25" customHeight="1">
      <c r="B16" s="729"/>
      <c r="C16" s="785"/>
      <c r="D16" s="785"/>
      <c r="E16" s="200"/>
      <c r="F16" s="779"/>
      <c r="G16" s="792"/>
    </row>
    <row r="17" spans="2:7" ht="14.25" customHeight="1">
      <c r="B17" s="729"/>
      <c r="C17" s="785"/>
      <c r="D17" s="785"/>
      <c r="E17" s="200"/>
      <c r="F17" s="779"/>
      <c r="G17" s="792"/>
    </row>
    <row r="18" spans="2:7" ht="14.25" customHeight="1">
      <c r="B18" s="729"/>
      <c r="C18" s="785"/>
      <c r="D18" s="785"/>
      <c r="E18" s="200"/>
      <c r="F18" s="779"/>
      <c r="G18" s="792"/>
    </row>
    <row r="19" spans="2:7" ht="14.25" customHeight="1">
      <c r="B19" s="729"/>
      <c r="C19" s="786" t="s">
        <v>132</v>
      </c>
      <c r="D19" s="786"/>
      <c r="E19" s="174">
        <f>'tabl int presunt'!G18</f>
        <v>2081250</v>
      </c>
      <c r="F19" s="780"/>
      <c r="G19" s="792"/>
    </row>
    <row r="20" spans="2:7">
      <c r="B20" s="729"/>
      <c r="C20" s="757" t="s">
        <v>128</v>
      </c>
      <c r="D20" s="758"/>
      <c r="E20" s="758"/>
      <c r="F20" s="759"/>
      <c r="G20" s="792"/>
    </row>
    <row r="21" spans="2:7" ht="15" customHeight="1">
      <c r="B21" s="729"/>
      <c r="C21" s="785"/>
      <c r="D21" s="785"/>
      <c r="E21" s="200"/>
      <c r="F21" s="778">
        <f>SUM(E21:E27)</f>
        <v>90000000</v>
      </c>
      <c r="G21" s="792"/>
    </row>
    <row r="22" spans="2:7" ht="15" customHeight="1">
      <c r="B22" s="729"/>
      <c r="C22" s="785"/>
      <c r="D22" s="785"/>
      <c r="E22" s="200"/>
      <c r="F22" s="779"/>
      <c r="G22" s="792"/>
    </row>
    <row r="23" spans="2:7" ht="15" customHeight="1">
      <c r="B23" s="729"/>
      <c r="C23" s="785" t="s">
        <v>827</v>
      </c>
      <c r="D23" s="785"/>
      <c r="E23" s="199">
        <v>90000000</v>
      </c>
      <c r="F23" s="779"/>
      <c r="G23" s="792"/>
    </row>
    <row r="24" spans="2:7" ht="15" customHeight="1">
      <c r="B24" s="729"/>
      <c r="C24" s="785"/>
      <c r="D24" s="785"/>
      <c r="E24" s="200"/>
      <c r="F24" s="779"/>
      <c r="G24" s="792"/>
    </row>
    <row r="25" spans="2:7" ht="15" customHeight="1">
      <c r="B25" s="729"/>
      <c r="C25" s="785"/>
      <c r="D25" s="785"/>
      <c r="E25" s="200">
        <v>0</v>
      </c>
      <c r="F25" s="779"/>
      <c r="G25" s="792"/>
    </row>
    <row r="26" spans="2:7" ht="15" customHeight="1">
      <c r="B26" s="729"/>
      <c r="C26" s="785"/>
      <c r="D26" s="785"/>
      <c r="E26" s="200"/>
      <c r="F26" s="779"/>
      <c r="G26" s="792"/>
    </row>
    <row r="27" spans="2:7" ht="15" customHeight="1">
      <c r="B27" s="729"/>
      <c r="C27" s="785"/>
      <c r="D27" s="785"/>
      <c r="E27" s="200"/>
      <c r="F27" s="780"/>
      <c r="G27" s="792"/>
    </row>
    <row r="28" spans="2:7" ht="15" customHeight="1">
      <c r="B28" s="729"/>
      <c r="C28" s="757" t="s">
        <v>129</v>
      </c>
      <c r="D28" s="758"/>
      <c r="E28" s="758"/>
      <c r="F28" s="759"/>
      <c r="G28" s="792"/>
    </row>
    <row r="29" spans="2:7" ht="15" customHeight="1">
      <c r="B29" s="729"/>
      <c r="C29" s="785"/>
      <c r="D29" s="785"/>
      <c r="E29" s="200"/>
      <c r="F29" s="778">
        <f>SUM(E29:E35)</f>
        <v>0</v>
      </c>
      <c r="G29" s="792"/>
    </row>
    <row r="30" spans="2:7" ht="15" customHeight="1">
      <c r="B30" s="729"/>
      <c r="C30" s="785"/>
      <c r="D30" s="785"/>
      <c r="E30" s="200"/>
      <c r="F30" s="779"/>
      <c r="G30" s="792"/>
    </row>
    <row r="31" spans="2:7" ht="15" customHeight="1">
      <c r="B31" s="729"/>
      <c r="C31" s="785"/>
      <c r="D31" s="785"/>
      <c r="E31" s="200"/>
      <c r="F31" s="779"/>
      <c r="G31" s="792"/>
    </row>
    <row r="32" spans="2:7" ht="15" customHeight="1">
      <c r="B32" s="729"/>
      <c r="C32" s="785"/>
      <c r="D32" s="785"/>
      <c r="E32" s="200"/>
      <c r="F32" s="779"/>
      <c r="G32" s="792"/>
    </row>
    <row r="33" spans="2:7" ht="15" customHeight="1">
      <c r="B33" s="729"/>
      <c r="C33" s="785"/>
      <c r="D33" s="785"/>
      <c r="E33" s="200"/>
      <c r="F33" s="779"/>
      <c r="G33" s="792"/>
    </row>
    <row r="34" spans="2:7" ht="15" customHeight="1">
      <c r="B34" s="729"/>
      <c r="C34" s="785"/>
      <c r="D34" s="785"/>
      <c r="E34" s="200"/>
      <c r="F34" s="779"/>
      <c r="G34" s="792"/>
    </row>
    <row r="35" spans="2:7" ht="15" customHeight="1">
      <c r="B35" s="729"/>
      <c r="C35" s="785"/>
      <c r="D35" s="785"/>
      <c r="E35" s="200"/>
      <c r="F35" s="780"/>
      <c r="G35" s="792"/>
    </row>
    <row r="36" spans="2:7" ht="15.75" customHeight="1">
      <c r="B36" s="728" t="s">
        <v>347</v>
      </c>
      <c r="C36" s="774" t="s">
        <v>39</v>
      </c>
      <c r="D36" s="774"/>
      <c r="E36" s="774"/>
      <c r="F36" s="774"/>
      <c r="G36" s="774"/>
    </row>
    <row r="37" spans="2:7" ht="14.25" customHeight="1">
      <c r="B37" s="729"/>
      <c r="C37" s="703" t="s">
        <v>185</v>
      </c>
      <c r="D37" s="743"/>
      <c r="E37" s="744"/>
      <c r="F37" s="199">
        <v>3000000</v>
      </c>
      <c r="G37" s="781">
        <f>ROUND(SUM(F37:F43),-3)</f>
        <v>15112000</v>
      </c>
    </row>
    <row r="38" spans="2:7" ht="14.25" customHeight="1">
      <c r="B38" s="729"/>
      <c r="C38" s="703" t="s">
        <v>31</v>
      </c>
      <c r="D38" s="743"/>
      <c r="E38" s="744"/>
      <c r="F38" s="199">
        <v>2500000</v>
      </c>
      <c r="G38" s="781"/>
    </row>
    <row r="39" spans="2:7">
      <c r="B39" s="729"/>
      <c r="C39" s="703" t="s">
        <v>130</v>
      </c>
      <c r="D39" s="743"/>
      <c r="E39" s="744"/>
      <c r="F39" s="200">
        <v>0</v>
      </c>
      <c r="G39" s="781"/>
    </row>
    <row r="40" spans="2:7">
      <c r="B40" s="729"/>
      <c r="C40" s="703" t="s">
        <v>220</v>
      </c>
      <c r="D40" s="743"/>
      <c r="E40" s="200">
        <v>0</v>
      </c>
      <c r="F40" s="66">
        <f>Sheet1!W15</f>
        <v>0</v>
      </c>
      <c r="G40" s="781"/>
    </row>
    <row r="41" spans="2:7" ht="15.75" customHeight="1">
      <c r="B41" s="729"/>
      <c r="C41" s="719" t="s">
        <v>406</v>
      </c>
      <c r="D41" s="720"/>
      <c r="E41" s="721"/>
      <c r="F41" s="426">
        <f>F3*55.43%</f>
        <v>9611562</v>
      </c>
      <c r="G41" s="781"/>
    </row>
    <row r="42" spans="2:7">
      <c r="B42" s="729"/>
      <c r="C42" s="719"/>
      <c r="D42" s="720"/>
      <c r="E42" s="721"/>
      <c r="F42" s="200"/>
      <c r="G42" s="781"/>
    </row>
    <row r="43" spans="2:7">
      <c r="B43" s="730"/>
      <c r="C43" s="719"/>
      <c r="D43" s="720"/>
      <c r="E43" s="721"/>
      <c r="F43" s="200"/>
      <c r="G43" s="781"/>
    </row>
    <row r="44" spans="2:7" ht="15" customHeight="1">
      <c r="B44" s="728" t="s">
        <v>348</v>
      </c>
      <c r="C44" s="774" t="s">
        <v>26</v>
      </c>
      <c r="D44" s="774"/>
      <c r="E44" s="774"/>
      <c r="F44" s="774"/>
      <c r="G44" s="774"/>
    </row>
    <row r="45" spans="2:7">
      <c r="B45" s="729"/>
      <c r="C45" s="719"/>
      <c r="D45" s="720"/>
      <c r="E45" s="721"/>
      <c r="F45" s="199"/>
      <c r="G45" s="781">
        <f>ROUND(SUM(F45:F51),-3)</f>
        <v>20000000</v>
      </c>
    </row>
    <row r="46" spans="2:7">
      <c r="B46" s="729"/>
      <c r="C46" s="719" t="s">
        <v>828</v>
      </c>
      <c r="D46" s="720"/>
      <c r="E46" s="721"/>
      <c r="F46" s="199">
        <v>13000000</v>
      </c>
      <c r="G46" s="781"/>
    </row>
    <row r="47" spans="2:7">
      <c r="B47" s="729"/>
      <c r="C47" s="719" t="s">
        <v>829</v>
      </c>
      <c r="D47" s="720"/>
      <c r="E47" s="721"/>
      <c r="F47" s="199">
        <v>7000000</v>
      </c>
      <c r="G47" s="781"/>
    </row>
    <row r="48" spans="2:7">
      <c r="B48" s="729"/>
      <c r="C48" s="719" t="s">
        <v>850</v>
      </c>
      <c r="D48" s="720"/>
      <c r="E48" s="721"/>
      <c r="F48" s="199"/>
      <c r="G48" s="781"/>
    </row>
    <row r="49" spans="2:8">
      <c r="B49" s="729"/>
      <c r="C49" s="719"/>
      <c r="D49" s="720"/>
      <c r="E49" s="721"/>
      <c r="F49" s="199"/>
      <c r="G49" s="781"/>
    </row>
    <row r="50" spans="2:8">
      <c r="B50" s="729"/>
      <c r="C50" s="719"/>
      <c r="D50" s="720"/>
      <c r="E50" s="721"/>
      <c r="F50" s="200"/>
      <c r="G50" s="781"/>
    </row>
    <row r="51" spans="2:8">
      <c r="B51" s="730"/>
      <c r="C51" s="719"/>
      <c r="D51" s="720"/>
      <c r="E51" s="721"/>
      <c r="F51" s="200"/>
      <c r="G51" s="781"/>
    </row>
    <row r="52" spans="2:8" ht="15" customHeight="1">
      <c r="B52" s="217"/>
      <c r="C52" s="736" t="s">
        <v>125</v>
      </c>
      <c r="D52" s="736"/>
      <c r="E52" s="774"/>
      <c r="F52" s="774"/>
      <c r="G52" s="774"/>
    </row>
    <row r="53" spans="2:8" ht="15" customHeight="1">
      <c r="B53" s="728" t="s">
        <v>349</v>
      </c>
      <c r="C53" s="787" t="s">
        <v>40</v>
      </c>
      <c r="D53" s="788"/>
      <c r="E53" s="200"/>
      <c r="F53" s="768">
        <f>Sheet1!S24</f>
        <v>0</v>
      </c>
      <c r="G53" s="737">
        <f>SUM(F55:F57)</f>
        <v>0</v>
      </c>
    </row>
    <row r="54" spans="2:8" ht="15" customHeight="1">
      <c r="B54" s="730"/>
      <c r="C54" s="702" t="s">
        <v>320</v>
      </c>
      <c r="D54" s="702"/>
      <c r="E54" s="200">
        <v>0</v>
      </c>
      <c r="F54" s="770"/>
      <c r="G54" s="738"/>
    </row>
    <row r="55" spans="2:8" ht="30" customHeight="1">
      <c r="B55" s="243" t="s">
        <v>350</v>
      </c>
      <c r="C55" s="702" t="s">
        <v>35</v>
      </c>
      <c r="D55" s="702"/>
      <c r="E55" s="200">
        <v>0</v>
      </c>
      <c r="F55" s="65">
        <f>IF(E55&gt;(1200*G68),(1200*G68),E55)</f>
        <v>0</v>
      </c>
      <c r="G55" s="738"/>
    </row>
    <row r="56" spans="2:8" ht="15" customHeight="1">
      <c r="B56" s="728" t="s">
        <v>351</v>
      </c>
      <c r="C56" s="702" t="s">
        <v>41</v>
      </c>
      <c r="D56" s="702"/>
      <c r="E56" s="200">
        <v>0</v>
      </c>
      <c r="F56" s="65">
        <f>E56*50%</f>
        <v>0</v>
      </c>
      <c r="G56" s="738"/>
    </row>
    <row r="57" spans="2:8" ht="15" customHeight="1">
      <c r="B57" s="730"/>
      <c r="C57" s="702" t="s">
        <v>244</v>
      </c>
      <c r="D57" s="702"/>
      <c r="E57" s="200">
        <v>0</v>
      </c>
      <c r="F57" s="65">
        <f>IF(E57&gt;Sheet1!K33,Sheet1!K33,E57)</f>
        <v>0</v>
      </c>
      <c r="G57" s="738"/>
    </row>
    <row r="58" spans="2:8">
      <c r="B58" s="789" t="s">
        <v>352</v>
      </c>
      <c r="C58" s="774" t="s">
        <v>131</v>
      </c>
      <c r="D58" s="774"/>
      <c r="E58" s="774"/>
      <c r="F58" s="774"/>
      <c r="G58" s="774"/>
    </row>
    <row r="59" spans="2:8">
      <c r="B59" s="790"/>
      <c r="C59" s="719"/>
      <c r="D59" s="720"/>
      <c r="E59" s="721"/>
      <c r="F59" s="200"/>
      <c r="G59" s="781">
        <f>ROUND(SUM(F59:F63),-3)</f>
        <v>0</v>
      </c>
    </row>
    <row r="60" spans="2:8">
      <c r="B60" s="790"/>
      <c r="C60" s="719"/>
      <c r="D60" s="720"/>
      <c r="E60" s="721"/>
      <c r="F60" s="200"/>
      <c r="G60" s="781"/>
    </row>
    <row r="61" spans="2:8">
      <c r="B61" s="790"/>
      <c r="C61" s="719"/>
      <c r="D61" s="720"/>
      <c r="E61" s="721"/>
      <c r="F61" s="200"/>
      <c r="G61" s="781"/>
    </row>
    <row r="62" spans="2:8">
      <c r="B62" s="790"/>
      <c r="C62" s="719"/>
      <c r="D62" s="720"/>
      <c r="E62" s="721"/>
      <c r="F62" s="200"/>
      <c r="G62" s="781"/>
    </row>
    <row r="63" spans="2:8">
      <c r="B63" s="790"/>
      <c r="C63" s="719"/>
      <c r="D63" s="720"/>
      <c r="E63" s="721"/>
      <c r="F63" s="200"/>
      <c r="G63" s="781"/>
    </row>
    <row r="64" spans="2:8" ht="14">
      <c r="C64" s="128"/>
      <c r="D64" s="128"/>
      <c r="E64" s="128"/>
      <c r="F64" s="128"/>
      <c r="G64" s="128"/>
      <c r="H64" s="128"/>
    </row>
    <row r="65" spans="2:8">
      <c r="B65" s="701" t="s">
        <v>353</v>
      </c>
      <c r="C65" s="774" t="s">
        <v>292</v>
      </c>
      <c r="D65" s="774"/>
      <c r="E65" s="774"/>
      <c r="F65" s="774"/>
      <c r="G65" s="774"/>
      <c r="H65" s="128"/>
    </row>
    <row r="66" spans="2:8">
      <c r="B66" s="701"/>
      <c r="C66" s="702" t="s">
        <v>323</v>
      </c>
      <c r="D66" s="702"/>
      <c r="E66" s="702"/>
      <c r="F66" s="200"/>
      <c r="G66" s="202">
        <f>F66</f>
        <v>0</v>
      </c>
      <c r="H66" s="128"/>
    </row>
    <row r="67" spans="2:8" ht="14">
      <c r="C67" s="128"/>
      <c r="D67" s="128"/>
      <c r="E67" s="128"/>
      <c r="F67" s="128"/>
      <c r="G67" s="128"/>
      <c r="H67" s="128"/>
    </row>
    <row r="68" spans="2:8">
      <c r="C68" s="775" t="s">
        <v>122</v>
      </c>
      <c r="D68" s="776"/>
      <c r="E68" s="776"/>
      <c r="F68" s="777"/>
      <c r="G68" s="157">
        <f>'R.trabajo y honorarios'!H74</f>
        <v>49799</v>
      </c>
    </row>
    <row r="69" spans="2:8"/>
    <row r="70" spans="2:8"/>
    <row r="71" spans="2:8"/>
    <row r="72" spans="2:8"/>
    <row r="73" spans="2:8"/>
    <row r="74" spans="2:8"/>
    <row r="75" spans="2:8"/>
    <row r="76" spans="2:8"/>
    <row r="77" spans="2:8"/>
    <row r="78" spans="2:8"/>
    <row r="79" spans="2:8"/>
    <row r="80" spans="2:8"/>
    <row r="81"/>
    <row r="82"/>
    <row r="83"/>
    <row r="84"/>
    <row r="85"/>
    <row r="86"/>
  </sheetData>
  <mergeCells count="83">
    <mergeCell ref="C24:D24"/>
    <mergeCell ref="C25:D25"/>
    <mergeCell ref="C26:D26"/>
    <mergeCell ref="C34:D34"/>
    <mergeCell ref="C35:D35"/>
    <mergeCell ref="C27:D27"/>
    <mergeCell ref="C29:D29"/>
    <mergeCell ref="C30:D30"/>
    <mergeCell ref="C31:D31"/>
    <mergeCell ref="C32:D32"/>
    <mergeCell ref="C33:D33"/>
    <mergeCell ref="C2:F2"/>
    <mergeCell ref="C28:F28"/>
    <mergeCell ref="C11:D11"/>
    <mergeCell ref="B58:B63"/>
    <mergeCell ref="C58:G58"/>
    <mergeCell ref="G59:G63"/>
    <mergeCell ref="C20:F20"/>
    <mergeCell ref="G2:G35"/>
    <mergeCell ref="C6:D6"/>
    <mergeCell ref="C15:D15"/>
    <mergeCell ref="C16:D16"/>
    <mergeCell ref="C17:D17"/>
    <mergeCell ref="C18:D18"/>
    <mergeCell ref="C21:D21"/>
    <mergeCell ref="C22:D22"/>
    <mergeCell ref="C23:D23"/>
    <mergeCell ref="C52:G52"/>
    <mergeCell ref="B36:B43"/>
    <mergeCell ref="B44:B51"/>
    <mergeCell ref="C40:D40"/>
    <mergeCell ref="G53:G57"/>
    <mergeCell ref="C43:E43"/>
    <mergeCell ref="C49:E49"/>
    <mergeCell ref="C50:E50"/>
    <mergeCell ref="C51:E51"/>
    <mergeCell ref="C53:D53"/>
    <mergeCell ref="C57:D57"/>
    <mergeCell ref="C45:E45"/>
    <mergeCell ref="C46:E46"/>
    <mergeCell ref="C47:E47"/>
    <mergeCell ref="C48:E48"/>
    <mergeCell ref="B53:B54"/>
    <mergeCell ref="B1:G1"/>
    <mergeCell ref="F3:F11"/>
    <mergeCell ref="C3:D3"/>
    <mergeCell ref="C4:D4"/>
    <mergeCell ref="C7:D7"/>
    <mergeCell ref="C8:D8"/>
    <mergeCell ref="C9:D9"/>
    <mergeCell ref="C10:D10"/>
    <mergeCell ref="C5:D5"/>
    <mergeCell ref="B2:B35"/>
    <mergeCell ref="C19:D19"/>
    <mergeCell ref="F13:F19"/>
    <mergeCell ref="C12:F12"/>
    <mergeCell ref="F21:F27"/>
    <mergeCell ref="C13:D13"/>
    <mergeCell ref="C14:D14"/>
    <mergeCell ref="C68:F68"/>
    <mergeCell ref="F29:F35"/>
    <mergeCell ref="G45:G51"/>
    <mergeCell ref="C56:D56"/>
    <mergeCell ref="C55:D55"/>
    <mergeCell ref="F53:F54"/>
    <mergeCell ref="C44:G44"/>
    <mergeCell ref="C36:G36"/>
    <mergeCell ref="G37:G43"/>
    <mergeCell ref="C61:E61"/>
    <mergeCell ref="C37:E37"/>
    <mergeCell ref="C38:E38"/>
    <mergeCell ref="C39:E39"/>
    <mergeCell ref="C41:E41"/>
    <mergeCell ref="C54:D54"/>
    <mergeCell ref="C42:E42"/>
    <mergeCell ref="B56:B57"/>
    <mergeCell ref="B65:B66"/>
    <mergeCell ref="C65:G65"/>
    <mergeCell ref="C66:E66"/>
    <mergeCell ref="C59:E59"/>
    <mergeCell ref="C60:E60"/>
    <mergeCell ref="C62:E62"/>
    <mergeCell ref="C63:E63"/>
  </mergeCells>
  <hyperlinks>
    <hyperlink ref="B2:B35" location="'FORMULARIO 210'!S16" display="Rengón 58" xr:uid="{00000000-0004-0000-0900-000000000000}"/>
    <hyperlink ref="B44:B51" location="'FORMULARIO 210'!S19" display="Renglón 60" xr:uid="{00000000-0004-0000-0900-000001000000}"/>
    <hyperlink ref="B36:B43" location="'FORMULARIO 210'!S18" display="Renglón 59" xr:uid="{00000000-0004-0000-0900-000002000000}"/>
    <hyperlink ref="B58:B63" location="'FORMULARIO 210'!S21" display="Renglón 62" xr:uid="{00000000-0004-0000-0900-000003000000}"/>
    <hyperlink ref="E19" location="'tabl int presunt'!G18" display="'tabl int presunt'!G18" xr:uid="{00000000-0004-0000-0900-000004000000}"/>
    <hyperlink ref="B53:B54" location="'FORMULARIO 210'!S22" display="R.63" xr:uid="{00000000-0004-0000-0900-000005000000}"/>
    <hyperlink ref="B55" location="'FORMULARIO 210'!S25" display="R. 66" xr:uid="{00000000-0004-0000-0900-000006000000}"/>
    <hyperlink ref="B56:B57" location="'FORMULARIO 210'!S26" display="R.67" xr:uid="{00000000-0004-0000-0900-000007000000}"/>
    <hyperlink ref="B65:B66" location="'FORMULARIO 210'!S31" display="R. 72" xr:uid="{00000000-0004-0000-0900-000008000000}"/>
  </hyperlinks>
  <pageMargins left="0.7" right="0.7" top="0.75" bottom="0.75" header="0.3" footer="0.3"/>
  <pageSetup scale="65"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8">
    <tabColor rgb="FF0070C0"/>
  </sheetPr>
  <dimension ref="A1:I20"/>
  <sheetViews>
    <sheetView showGridLines="0" topLeftCell="A3" zoomScale="190" zoomScaleNormal="190" zoomScaleSheetLayoutView="110" workbookViewId="0">
      <selection activeCell="G18" sqref="G18"/>
    </sheetView>
  </sheetViews>
  <sheetFormatPr baseColWidth="10" defaultColWidth="0" defaultRowHeight="16" zeroHeight="1"/>
  <cols>
    <col min="1" max="1" width="7.33203125" style="16" customWidth="1"/>
    <col min="2" max="2" width="17" style="16" customWidth="1"/>
    <col min="3" max="3" width="13.33203125" style="16" bestFit="1" customWidth="1"/>
    <col min="4" max="5" width="12.83203125" style="16" bestFit="1" customWidth="1"/>
    <col min="6" max="7" width="15.1640625" style="16" customWidth="1"/>
    <col min="8" max="8" width="7.5" style="16" customWidth="1"/>
    <col min="9" max="9" width="14.33203125" style="16" customWidth="1"/>
    <col min="10" max="16384" width="7.5" style="16" hidden="1"/>
  </cols>
  <sheetData>
    <row r="1" spans="2:9">
      <c r="B1" s="794" t="s">
        <v>75</v>
      </c>
      <c r="C1" s="794"/>
      <c r="D1" s="794"/>
      <c r="E1" s="794"/>
      <c r="F1" s="794"/>
      <c r="G1" s="794"/>
    </row>
    <row r="2" spans="2:9">
      <c r="B2" s="795" t="s">
        <v>806</v>
      </c>
      <c r="C2" s="795"/>
      <c r="D2" s="795"/>
      <c r="E2" s="795"/>
      <c r="F2" s="795"/>
      <c r="G2" s="795"/>
    </row>
    <row r="3" spans="2:9">
      <c r="B3" s="796" t="s">
        <v>93</v>
      </c>
      <c r="C3" s="796"/>
      <c r="D3" s="796"/>
      <c r="E3" s="796"/>
      <c r="F3" s="796"/>
      <c r="G3" s="169">
        <v>9.2499999999999999E-2</v>
      </c>
    </row>
    <row r="4" spans="2:9">
      <c r="B4" s="796" t="s">
        <v>94</v>
      </c>
      <c r="C4" s="796"/>
      <c r="D4" s="796"/>
      <c r="E4" s="796"/>
      <c r="F4" s="796"/>
      <c r="G4" s="169">
        <f>G3/12</f>
        <v>7.7083333333333335E-3</v>
      </c>
    </row>
    <row r="5" spans="2:9" ht="34">
      <c r="B5" s="64" t="s">
        <v>92</v>
      </c>
      <c r="C5" s="64" t="s">
        <v>76</v>
      </c>
      <c r="D5" s="64" t="s">
        <v>77</v>
      </c>
      <c r="E5" s="64" t="s">
        <v>78</v>
      </c>
      <c r="F5" s="64" t="s">
        <v>79</v>
      </c>
      <c r="G5" s="64" t="s">
        <v>95</v>
      </c>
      <c r="H5" s="23"/>
    </row>
    <row r="6" spans="2:9">
      <c r="B6" s="24" t="s">
        <v>80</v>
      </c>
      <c r="C6" s="197">
        <v>0</v>
      </c>
      <c r="D6" s="197"/>
      <c r="E6" s="197"/>
      <c r="F6" s="66">
        <f>C6+D6-E6</f>
        <v>0</v>
      </c>
      <c r="G6" s="66">
        <f t="shared" ref="G6:G17" si="0">C6*$G$4</f>
        <v>0</v>
      </c>
    </row>
    <row r="7" spans="2:9">
      <c r="B7" s="24" t="s">
        <v>81</v>
      </c>
      <c r="C7" s="202">
        <f>F6</f>
        <v>0</v>
      </c>
      <c r="D7" s="197"/>
      <c r="E7" s="197"/>
      <c r="F7" s="66">
        <f t="shared" ref="F7:F17" si="1">C7+D7-E7</f>
        <v>0</v>
      </c>
      <c r="G7" s="66">
        <f t="shared" si="0"/>
        <v>0</v>
      </c>
    </row>
    <row r="8" spans="2:9">
      <c r="B8" s="24" t="s">
        <v>82</v>
      </c>
      <c r="C8" s="202">
        <f t="shared" ref="C8:C17" si="2">F7</f>
        <v>0</v>
      </c>
      <c r="D8" s="197"/>
      <c r="E8" s="197"/>
      <c r="F8" s="66">
        <f t="shared" si="1"/>
        <v>0</v>
      </c>
      <c r="G8" s="66">
        <f t="shared" si="0"/>
        <v>0</v>
      </c>
      <c r="I8" s="218"/>
    </row>
    <row r="9" spans="2:9">
      <c r="B9" s="24" t="s">
        <v>83</v>
      </c>
      <c r="C9" s="202">
        <f t="shared" si="2"/>
        <v>0</v>
      </c>
      <c r="D9" s="197">
        <v>0</v>
      </c>
      <c r="E9" s="197"/>
      <c r="F9" s="66">
        <f t="shared" si="1"/>
        <v>0</v>
      </c>
      <c r="G9" s="66">
        <f t="shared" si="0"/>
        <v>0</v>
      </c>
    </row>
    <row r="10" spans="2:9">
      <c r="B10" s="24" t="s">
        <v>84</v>
      </c>
      <c r="C10" s="202">
        <f t="shared" si="2"/>
        <v>0</v>
      </c>
      <c r="D10" s="197">
        <v>0</v>
      </c>
      <c r="E10" s="197"/>
      <c r="F10" s="66">
        <f>C10+D10-E10</f>
        <v>0</v>
      </c>
      <c r="G10" s="66">
        <f t="shared" si="0"/>
        <v>0</v>
      </c>
    </row>
    <row r="11" spans="2:9">
      <c r="B11" s="24" t="s">
        <v>85</v>
      </c>
      <c r="C11" s="202">
        <f t="shared" si="2"/>
        <v>0</v>
      </c>
      <c r="D11" s="197"/>
      <c r="E11" s="197"/>
      <c r="F11" s="66">
        <f t="shared" si="1"/>
        <v>0</v>
      </c>
      <c r="G11" s="66">
        <f t="shared" si="0"/>
        <v>0</v>
      </c>
      <c r="I11" s="5"/>
    </row>
    <row r="12" spans="2:9">
      <c r="B12" s="24" t="s">
        <v>86</v>
      </c>
      <c r="C12" s="202">
        <f t="shared" si="2"/>
        <v>0</v>
      </c>
      <c r="D12" s="197">
        <v>50000000</v>
      </c>
      <c r="E12" s="197"/>
      <c r="F12" s="66">
        <f t="shared" si="1"/>
        <v>50000000</v>
      </c>
      <c r="G12" s="66">
        <f t="shared" si="0"/>
        <v>0</v>
      </c>
    </row>
    <row r="13" spans="2:9">
      <c r="B13" s="24" t="s">
        <v>87</v>
      </c>
      <c r="C13" s="202">
        <f t="shared" si="2"/>
        <v>50000000</v>
      </c>
      <c r="D13" s="197"/>
      <c r="E13" s="197"/>
      <c r="F13" s="66">
        <f t="shared" si="1"/>
        <v>50000000</v>
      </c>
      <c r="G13" s="66">
        <f t="shared" si="0"/>
        <v>385416.66666666669</v>
      </c>
    </row>
    <row r="14" spans="2:9">
      <c r="B14" s="24" t="s">
        <v>88</v>
      </c>
      <c r="C14" s="202">
        <f t="shared" si="2"/>
        <v>50000000</v>
      </c>
      <c r="D14" s="197"/>
      <c r="E14" s="197"/>
      <c r="F14" s="66">
        <f t="shared" si="1"/>
        <v>50000000</v>
      </c>
      <c r="G14" s="66">
        <f t="shared" si="0"/>
        <v>385416.66666666669</v>
      </c>
    </row>
    <row r="15" spans="2:9">
      <c r="B15" s="24" t="s">
        <v>89</v>
      </c>
      <c r="C15" s="202">
        <f t="shared" si="2"/>
        <v>50000000</v>
      </c>
      <c r="D15" s="197">
        <v>10000000</v>
      </c>
      <c r="E15" s="197"/>
      <c r="F15" s="66">
        <f t="shared" si="1"/>
        <v>60000000</v>
      </c>
      <c r="G15" s="66">
        <f t="shared" si="0"/>
        <v>385416.66666666669</v>
      </c>
    </row>
    <row r="16" spans="2:9">
      <c r="B16" s="24" t="s">
        <v>90</v>
      </c>
      <c r="C16" s="202">
        <f t="shared" si="2"/>
        <v>60000000</v>
      </c>
      <c r="D16" s="197"/>
      <c r="E16" s="197"/>
      <c r="F16" s="66">
        <f t="shared" si="1"/>
        <v>60000000</v>
      </c>
      <c r="G16" s="66">
        <f t="shared" si="0"/>
        <v>462500</v>
      </c>
    </row>
    <row r="17" spans="2:7">
      <c r="B17" s="24" t="s">
        <v>91</v>
      </c>
      <c r="C17" s="202">
        <f t="shared" si="2"/>
        <v>60000000</v>
      </c>
      <c r="D17" s="197"/>
      <c r="E17" s="197">
        <v>60000000</v>
      </c>
      <c r="F17" s="66">
        <f t="shared" si="1"/>
        <v>0</v>
      </c>
      <c r="G17" s="66">
        <f t="shared" si="0"/>
        <v>462500</v>
      </c>
    </row>
    <row r="18" spans="2:7">
      <c r="B18" s="793" t="s">
        <v>96</v>
      </c>
      <c r="C18" s="793"/>
      <c r="D18" s="793"/>
      <c r="E18" s="793"/>
      <c r="F18" s="793"/>
      <c r="G18" s="250">
        <f>SUM(G6:G17)</f>
        <v>2081250</v>
      </c>
    </row>
    <row r="19" spans="2:7"/>
    <row r="20" spans="2:7"/>
  </sheetData>
  <mergeCells count="5">
    <mergeCell ref="B18:F18"/>
    <mergeCell ref="B1:G1"/>
    <mergeCell ref="B2:G2"/>
    <mergeCell ref="B4:F4"/>
    <mergeCell ref="B3:F3"/>
  </mergeCells>
  <hyperlinks>
    <hyperlink ref="G18" location="R.capital!D19" display="R.capital!D19" xr:uid="{00000000-0004-0000-1100-000000000000}"/>
  </hyperlinks>
  <pageMargins left="0.7" right="0.7" top="0.75" bottom="0.75" header="0.3" footer="0.3"/>
  <pageSetup scale="9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9">
    <tabColor rgb="FF0070C0"/>
  </sheetPr>
  <dimension ref="A1:K101"/>
  <sheetViews>
    <sheetView showGridLines="0" zoomScale="170" zoomScaleNormal="170" zoomScaleSheetLayoutView="119" workbookViewId="0">
      <pane ySplit="1" topLeftCell="A70" activePane="bottomLeft" state="frozen"/>
      <selection pane="bottomLeft" activeCell="F39" sqref="F39"/>
    </sheetView>
  </sheetViews>
  <sheetFormatPr baseColWidth="10" defaultColWidth="0" defaultRowHeight="16" zeroHeight="1"/>
  <cols>
    <col min="1" max="1" width="3.33203125" style="72" customWidth="1"/>
    <col min="2" max="2" width="4.5" style="129" customWidth="1"/>
    <col min="3" max="3" width="43.83203125" style="72" customWidth="1"/>
    <col min="4" max="4" width="19.83203125" style="72" customWidth="1"/>
    <col min="5" max="5" width="17.1640625" style="72" customWidth="1"/>
    <col min="6" max="6" width="18.5" style="72" customWidth="1"/>
    <col min="7" max="7" width="14" style="130" bestFit="1" customWidth="1"/>
    <col min="8" max="8" width="7.33203125" style="72" customWidth="1"/>
    <col min="9" max="9" width="12.6640625" style="72" bestFit="1" customWidth="1"/>
    <col min="10" max="10" width="16.5" style="72" hidden="1" customWidth="1"/>
    <col min="11" max="11" width="12.1640625" style="72" hidden="1" customWidth="1"/>
    <col min="12" max="16384" width="11.5" style="72" hidden="1"/>
  </cols>
  <sheetData>
    <row r="1" spans="2:7">
      <c r="B1" s="728" t="s">
        <v>336</v>
      </c>
      <c r="C1" s="774" t="s">
        <v>135</v>
      </c>
      <c r="D1" s="774"/>
      <c r="E1" s="774"/>
      <c r="F1" s="774"/>
      <c r="G1" s="774"/>
    </row>
    <row r="2" spans="2:7">
      <c r="B2" s="729"/>
      <c r="C2" s="774" t="s">
        <v>188</v>
      </c>
      <c r="D2" s="774"/>
      <c r="E2" s="774"/>
      <c r="F2" s="774"/>
      <c r="G2" s="774"/>
    </row>
    <row r="3" spans="2:7" ht="14.25" customHeight="1">
      <c r="B3" s="729"/>
      <c r="C3" s="719" t="s">
        <v>830</v>
      </c>
      <c r="D3" s="720"/>
      <c r="E3" s="721"/>
      <c r="F3" s="207">
        <v>67000000</v>
      </c>
      <c r="G3" s="798">
        <f>ROUND(SUM(F3:F16),-3)</f>
        <v>322000000</v>
      </c>
    </row>
    <row r="4" spans="2:7" ht="14.25" customHeight="1">
      <c r="B4" s="729"/>
      <c r="C4" s="719" t="s">
        <v>831</v>
      </c>
      <c r="D4" s="720"/>
      <c r="E4" s="721"/>
      <c r="F4" s="207">
        <v>198000000</v>
      </c>
      <c r="G4" s="799"/>
    </row>
    <row r="5" spans="2:7" ht="14.25" customHeight="1">
      <c r="B5" s="729"/>
      <c r="C5" s="719" t="s">
        <v>832</v>
      </c>
      <c r="D5" s="720"/>
      <c r="E5" s="721"/>
      <c r="F5" s="207">
        <v>22000000</v>
      </c>
      <c r="G5" s="799"/>
    </row>
    <row r="6" spans="2:7" ht="14.25" customHeight="1">
      <c r="B6" s="729"/>
      <c r="C6" s="719" t="s">
        <v>833</v>
      </c>
      <c r="D6" s="720"/>
      <c r="E6" s="721"/>
      <c r="F6" s="207">
        <v>35000000</v>
      </c>
      <c r="G6" s="799"/>
    </row>
    <row r="7" spans="2:7" ht="14.25" customHeight="1">
      <c r="B7" s="729"/>
      <c r="C7" s="719"/>
      <c r="D7" s="720"/>
      <c r="E7" s="721"/>
      <c r="F7" s="207"/>
      <c r="G7" s="799"/>
    </row>
    <row r="8" spans="2:7" ht="14.25" customHeight="1">
      <c r="B8" s="729"/>
      <c r="C8" s="719"/>
      <c r="D8" s="720"/>
      <c r="E8" s="721"/>
      <c r="F8" s="207"/>
      <c r="G8" s="799"/>
    </row>
    <row r="9" spans="2:7" ht="14.25" customHeight="1">
      <c r="B9" s="729"/>
      <c r="C9" s="719"/>
      <c r="D9" s="720"/>
      <c r="E9" s="721"/>
      <c r="F9" s="207"/>
      <c r="G9" s="799"/>
    </row>
    <row r="10" spans="2:7" ht="15" customHeight="1">
      <c r="B10" s="729"/>
      <c r="C10" s="719"/>
      <c r="D10" s="720"/>
      <c r="E10" s="721"/>
      <c r="F10" s="200"/>
      <c r="G10" s="799"/>
    </row>
    <row r="11" spans="2:7" ht="15" customHeight="1">
      <c r="B11" s="729"/>
      <c r="C11" s="719"/>
      <c r="D11" s="720"/>
      <c r="E11" s="721"/>
      <c r="F11" s="200"/>
      <c r="G11" s="799"/>
    </row>
    <row r="12" spans="2:7" ht="15" customHeight="1">
      <c r="B12" s="729"/>
      <c r="C12" s="719"/>
      <c r="D12" s="720"/>
      <c r="E12" s="721"/>
      <c r="F12" s="200"/>
      <c r="G12" s="799"/>
    </row>
    <row r="13" spans="2:7" ht="15" customHeight="1">
      <c r="B13" s="729"/>
      <c r="C13" s="719"/>
      <c r="D13" s="720"/>
      <c r="E13" s="721"/>
      <c r="F13" s="200"/>
      <c r="G13" s="799"/>
    </row>
    <row r="14" spans="2:7" ht="15" customHeight="1">
      <c r="B14" s="729"/>
      <c r="C14" s="719"/>
      <c r="D14" s="720"/>
      <c r="E14" s="721"/>
      <c r="F14" s="200"/>
      <c r="G14" s="799"/>
    </row>
    <row r="15" spans="2:7" ht="15" customHeight="1">
      <c r="B15" s="729"/>
      <c r="C15" s="719"/>
      <c r="D15" s="720"/>
      <c r="E15" s="721"/>
      <c r="F15" s="200"/>
      <c r="G15" s="799"/>
    </row>
    <row r="16" spans="2:7" ht="15" customHeight="1">
      <c r="B16" s="730"/>
      <c r="C16" s="719"/>
      <c r="D16" s="720"/>
      <c r="E16" s="721"/>
      <c r="F16" s="200"/>
      <c r="G16" s="800"/>
    </row>
    <row r="17" spans="2:7" ht="15" customHeight="1">
      <c r="B17" s="728" t="s">
        <v>337</v>
      </c>
      <c r="C17" s="735" t="s">
        <v>45</v>
      </c>
      <c r="D17" s="802"/>
      <c r="E17" s="802"/>
      <c r="F17" s="802"/>
      <c r="G17" s="736"/>
    </row>
    <row r="18" spans="2:7" ht="15" customHeight="1">
      <c r="B18" s="729"/>
      <c r="C18" s="719"/>
      <c r="D18" s="720"/>
      <c r="E18" s="721"/>
      <c r="F18" s="207"/>
      <c r="G18" s="801">
        <f>ROUND(SUM(F18:F22),-3)</f>
        <v>0</v>
      </c>
    </row>
    <row r="19" spans="2:7" ht="15" customHeight="1">
      <c r="B19" s="729"/>
      <c r="C19" s="719"/>
      <c r="D19" s="720"/>
      <c r="E19" s="721"/>
      <c r="F19" s="207"/>
      <c r="G19" s="801"/>
    </row>
    <row r="20" spans="2:7" ht="15" customHeight="1">
      <c r="B20" s="729"/>
      <c r="C20" s="719"/>
      <c r="D20" s="720"/>
      <c r="E20" s="721"/>
      <c r="F20" s="207"/>
      <c r="G20" s="801"/>
    </row>
    <row r="21" spans="2:7" ht="15" customHeight="1">
      <c r="B21" s="729"/>
      <c r="C21" s="719"/>
      <c r="D21" s="720"/>
      <c r="E21" s="721"/>
      <c r="F21" s="200"/>
      <c r="G21" s="801"/>
    </row>
    <row r="22" spans="2:7" ht="15" customHeight="1">
      <c r="B22" s="730"/>
      <c r="C22" s="719"/>
      <c r="D22" s="720"/>
      <c r="E22" s="721"/>
      <c r="F22" s="200"/>
      <c r="G22" s="801"/>
    </row>
    <row r="23" spans="2:7">
      <c r="B23" s="728" t="s">
        <v>338</v>
      </c>
      <c r="C23" s="774" t="s">
        <v>39</v>
      </c>
      <c r="D23" s="774"/>
      <c r="E23" s="774"/>
      <c r="F23" s="774"/>
      <c r="G23" s="774"/>
    </row>
    <row r="24" spans="2:7">
      <c r="B24" s="729"/>
      <c r="C24" s="702" t="s">
        <v>220</v>
      </c>
      <c r="D24" s="702"/>
      <c r="E24" s="200"/>
      <c r="F24" s="66">
        <f>Sheet1!X15</f>
        <v>0</v>
      </c>
      <c r="G24" s="801">
        <f>ROUND(SUM(F24:F36),-3)</f>
        <v>233000000</v>
      </c>
    </row>
    <row r="25" spans="2:7">
      <c r="B25" s="729"/>
      <c r="C25" s="703" t="s">
        <v>31</v>
      </c>
      <c r="D25" s="743"/>
      <c r="E25" s="744"/>
      <c r="F25" s="207"/>
      <c r="G25" s="801"/>
    </row>
    <row r="26" spans="2:7">
      <c r="B26" s="729"/>
      <c r="C26" s="703" t="s">
        <v>230</v>
      </c>
      <c r="D26" s="743"/>
      <c r="E26" s="744"/>
      <c r="F26" s="207"/>
      <c r="G26" s="801"/>
    </row>
    <row r="27" spans="2:7">
      <c r="B27" s="729"/>
      <c r="C27" s="703" t="s">
        <v>266</v>
      </c>
      <c r="D27" s="743"/>
      <c r="E27" s="744"/>
      <c r="F27" s="207"/>
      <c r="G27" s="801"/>
    </row>
    <row r="28" spans="2:7">
      <c r="B28" s="729"/>
      <c r="C28" s="719" t="s">
        <v>798</v>
      </c>
      <c r="D28" s="720"/>
      <c r="E28" s="721"/>
      <c r="F28" s="207">
        <f>F6</f>
        <v>35000000</v>
      </c>
      <c r="G28" s="801"/>
    </row>
    <row r="29" spans="2:7">
      <c r="B29" s="729"/>
      <c r="C29" s="719" t="s">
        <v>794</v>
      </c>
      <c r="D29" s="720"/>
      <c r="E29" s="721"/>
      <c r="F29" s="207">
        <f>F4</f>
        <v>198000000</v>
      </c>
      <c r="G29" s="801"/>
    </row>
    <row r="30" spans="2:7">
      <c r="B30" s="729"/>
      <c r="C30" s="719"/>
      <c r="D30" s="720"/>
      <c r="E30" s="721"/>
      <c r="F30" s="200"/>
      <c r="G30" s="801"/>
    </row>
    <row r="31" spans="2:7">
      <c r="B31" s="729"/>
      <c r="C31" s="719"/>
      <c r="D31" s="720"/>
      <c r="E31" s="721"/>
      <c r="F31" s="200"/>
      <c r="G31" s="801"/>
    </row>
    <row r="32" spans="2:7">
      <c r="B32" s="729"/>
      <c r="C32" s="719"/>
      <c r="D32" s="720"/>
      <c r="E32" s="721"/>
      <c r="F32" s="200"/>
      <c r="G32" s="801"/>
    </row>
    <row r="33" spans="2:7">
      <c r="B33" s="729"/>
      <c r="C33" s="719"/>
      <c r="D33" s="720"/>
      <c r="E33" s="721"/>
      <c r="F33" s="200"/>
      <c r="G33" s="801"/>
    </row>
    <row r="34" spans="2:7">
      <c r="B34" s="729"/>
      <c r="C34" s="719"/>
      <c r="D34" s="720"/>
      <c r="E34" s="721"/>
      <c r="F34" s="200"/>
      <c r="G34" s="801"/>
    </row>
    <row r="35" spans="2:7">
      <c r="B35" s="729"/>
      <c r="C35" s="719"/>
      <c r="D35" s="720"/>
      <c r="E35" s="721"/>
      <c r="F35" s="200"/>
      <c r="G35" s="801"/>
    </row>
    <row r="36" spans="2:7">
      <c r="B36" s="730"/>
      <c r="C36" s="719"/>
      <c r="D36" s="720"/>
      <c r="E36" s="721"/>
      <c r="F36" s="200"/>
      <c r="G36" s="801"/>
    </row>
    <row r="37" spans="2:7" ht="15" customHeight="1">
      <c r="B37" s="728" t="s">
        <v>339</v>
      </c>
      <c r="C37" s="774" t="s">
        <v>26</v>
      </c>
      <c r="D37" s="774"/>
      <c r="E37" s="774"/>
      <c r="F37" s="774"/>
      <c r="G37" s="774"/>
    </row>
    <row r="38" spans="2:7">
      <c r="B38" s="729"/>
      <c r="C38" s="719"/>
      <c r="D38" s="720"/>
      <c r="E38" s="721"/>
      <c r="F38" s="207"/>
      <c r="G38" s="801">
        <f>SUM(F38:F56)</f>
        <v>64000000</v>
      </c>
    </row>
    <row r="39" spans="2:7">
      <c r="B39" s="729"/>
      <c r="C39" s="719" t="s">
        <v>834</v>
      </c>
      <c r="D39" s="720"/>
      <c r="E39" s="721"/>
      <c r="F39" s="207">
        <f>64000000</f>
        <v>64000000</v>
      </c>
      <c r="G39" s="801"/>
    </row>
    <row r="40" spans="2:7">
      <c r="B40" s="729"/>
      <c r="C40" s="719"/>
      <c r="D40" s="720"/>
      <c r="E40" s="721"/>
      <c r="F40" s="207"/>
      <c r="G40" s="801"/>
    </row>
    <row r="41" spans="2:7" ht="17.25" customHeight="1">
      <c r="B41" s="729"/>
      <c r="C41" s="719"/>
      <c r="D41" s="720"/>
      <c r="E41" s="721"/>
      <c r="F41" s="207"/>
      <c r="G41" s="801"/>
    </row>
    <row r="42" spans="2:7">
      <c r="B42" s="729"/>
      <c r="C42" s="719"/>
      <c r="D42" s="720"/>
      <c r="E42" s="721"/>
      <c r="F42" s="207"/>
      <c r="G42" s="801"/>
    </row>
    <row r="43" spans="2:7">
      <c r="B43" s="729"/>
      <c r="C43" s="719"/>
      <c r="D43" s="720"/>
      <c r="E43" s="721"/>
      <c r="F43" s="207"/>
      <c r="G43" s="801"/>
    </row>
    <row r="44" spans="2:7">
      <c r="B44" s="729"/>
      <c r="C44" s="719"/>
      <c r="D44" s="720"/>
      <c r="E44" s="721"/>
      <c r="F44" s="207"/>
      <c r="G44" s="801"/>
    </row>
    <row r="45" spans="2:7">
      <c r="B45" s="729"/>
      <c r="C45" s="719"/>
      <c r="D45" s="720"/>
      <c r="E45" s="721"/>
      <c r="F45" s="207"/>
      <c r="G45" s="801"/>
    </row>
    <row r="46" spans="2:7">
      <c r="B46" s="729"/>
      <c r="C46" s="719"/>
      <c r="D46" s="720"/>
      <c r="E46" s="721"/>
      <c r="F46" s="200"/>
      <c r="G46" s="801"/>
    </row>
    <row r="47" spans="2:7">
      <c r="B47" s="729"/>
      <c r="C47" s="719"/>
      <c r="D47" s="720"/>
      <c r="E47" s="721"/>
      <c r="F47" s="200"/>
      <c r="G47" s="801"/>
    </row>
    <row r="48" spans="2:7">
      <c r="B48" s="729"/>
      <c r="C48" s="719"/>
      <c r="D48" s="720"/>
      <c r="E48" s="721"/>
      <c r="F48" s="200"/>
      <c r="G48" s="801"/>
    </row>
    <row r="49" spans="2:7">
      <c r="B49" s="729"/>
      <c r="C49" s="719"/>
      <c r="D49" s="720"/>
      <c r="E49" s="721"/>
      <c r="F49" s="200"/>
      <c r="G49" s="801"/>
    </row>
    <row r="50" spans="2:7">
      <c r="B50" s="729"/>
      <c r="C50" s="719"/>
      <c r="D50" s="720"/>
      <c r="E50" s="721"/>
      <c r="F50" s="200"/>
      <c r="G50" s="801"/>
    </row>
    <row r="51" spans="2:7">
      <c r="B51" s="729"/>
      <c r="C51" s="719"/>
      <c r="D51" s="720"/>
      <c r="E51" s="721"/>
      <c r="F51" s="200"/>
      <c r="G51" s="801"/>
    </row>
    <row r="52" spans="2:7">
      <c r="B52" s="729"/>
      <c r="C52" s="719"/>
      <c r="D52" s="720"/>
      <c r="E52" s="721"/>
      <c r="F52" s="200"/>
      <c r="G52" s="801"/>
    </row>
    <row r="53" spans="2:7">
      <c r="B53" s="729"/>
      <c r="C53" s="719"/>
      <c r="D53" s="720"/>
      <c r="E53" s="721"/>
      <c r="F53" s="200"/>
      <c r="G53" s="801"/>
    </row>
    <row r="54" spans="2:7">
      <c r="B54" s="729"/>
      <c r="C54" s="719"/>
      <c r="D54" s="720"/>
      <c r="E54" s="721"/>
      <c r="F54" s="200"/>
      <c r="G54" s="801"/>
    </row>
    <row r="55" spans="2:7">
      <c r="B55" s="729"/>
      <c r="C55" s="719"/>
      <c r="D55" s="720"/>
      <c r="E55" s="721"/>
      <c r="F55" s="200"/>
      <c r="G55" s="801"/>
    </row>
    <row r="56" spans="2:7">
      <c r="B56" s="730"/>
      <c r="C56" s="719"/>
      <c r="D56" s="720"/>
      <c r="E56" s="721"/>
      <c r="F56" s="200"/>
      <c r="G56" s="801"/>
    </row>
    <row r="57" spans="2:7" ht="15" customHeight="1">
      <c r="B57" s="728" t="s">
        <v>340</v>
      </c>
      <c r="C57" s="774" t="s">
        <v>133</v>
      </c>
      <c r="D57" s="774"/>
      <c r="E57" s="774"/>
      <c r="F57" s="774"/>
      <c r="G57" s="774"/>
    </row>
    <row r="58" spans="2:7">
      <c r="B58" s="729"/>
      <c r="C58" s="719"/>
      <c r="D58" s="720"/>
      <c r="E58" s="721"/>
      <c r="F58" s="200"/>
      <c r="G58" s="801">
        <v>0</v>
      </c>
    </row>
    <row r="59" spans="2:7">
      <c r="B59" s="729"/>
      <c r="C59" s="719"/>
      <c r="D59" s="720"/>
      <c r="E59" s="721"/>
      <c r="F59" s="200"/>
      <c r="G59" s="801"/>
    </row>
    <row r="60" spans="2:7">
      <c r="B60" s="729"/>
      <c r="C60" s="719"/>
      <c r="D60" s="720"/>
      <c r="E60" s="721"/>
      <c r="F60" s="200"/>
      <c r="G60" s="801"/>
    </row>
    <row r="61" spans="2:7">
      <c r="B61" s="729"/>
      <c r="C61" s="719"/>
      <c r="D61" s="720"/>
      <c r="E61" s="721"/>
      <c r="F61" s="200"/>
      <c r="G61" s="801"/>
    </row>
    <row r="62" spans="2:7">
      <c r="B62" s="730"/>
      <c r="C62" s="719"/>
      <c r="D62" s="720"/>
      <c r="E62" s="721"/>
      <c r="F62" s="200"/>
      <c r="G62" s="801"/>
    </row>
    <row r="63" spans="2:7" ht="15" customHeight="1">
      <c r="B63" s="802" t="s">
        <v>125</v>
      </c>
      <c r="C63" s="802"/>
      <c r="D63" s="802"/>
      <c r="E63" s="802"/>
      <c r="F63" s="802"/>
      <c r="G63" s="736"/>
    </row>
    <row r="64" spans="2:7" ht="15" customHeight="1">
      <c r="B64" s="728" t="s">
        <v>341</v>
      </c>
      <c r="C64" s="702" t="s">
        <v>40</v>
      </c>
      <c r="D64" s="702"/>
      <c r="E64" s="200">
        <v>0</v>
      </c>
      <c r="F64" s="803">
        <f>Sheet1!S30</f>
        <v>0</v>
      </c>
      <c r="G64" s="803">
        <f>SUM(F66:F71)</f>
        <v>0</v>
      </c>
    </row>
    <row r="65" spans="2:8" ht="15" customHeight="1">
      <c r="B65" s="729"/>
      <c r="C65" s="702" t="s">
        <v>320</v>
      </c>
      <c r="D65" s="702"/>
      <c r="E65" s="200">
        <v>0</v>
      </c>
      <c r="F65" s="804"/>
      <c r="G65" s="805"/>
      <c r="H65" s="38"/>
    </row>
    <row r="66" spans="2:8" ht="15" customHeight="1">
      <c r="B66" s="701" t="s">
        <v>342</v>
      </c>
      <c r="C66" s="806" t="s">
        <v>390</v>
      </c>
      <c r="D66" s="807"/>
      <c r="E66" s="200"/>
      <c r="F66" s="183"/>
      <c r="G66" s="805"/>
      <c r="H66" s="38"/>
    </row>
    <row r="67" spans="2:8" ht="15" customHeight="1">
      <c r="B67" s="701"/>
      <c r="C67" s="719" t="s">
        <v>301</v>
      </c>
      <c r="D67" s="721"/>
      <c r="E67" s="200"/>
      <c r="F67" s="183"/>
      <c r="G67" s="805"/>
      <c r="H67" s="38"/>
    </row>
    <row r="68" spans="2:8" ht="15" customHeight="1">
      <c r="B68" s="701"/>
      <c r="C68" s="748"/>
      <c r="D68" s="750"/>
      <c r="E68" s="200"/>
      <c r="F68" s="183"/>
      <c r="G68" s="805"/>
      <c r="H68" s="38"/>
    </row>
    <row r="69" spans="2:8" ht="31">
      <c r="B69" s="242" t="s">
        <v>343</v>
      </c>
      <c r="C69" s="703" t="s">
        <v>35</v>
      </c>
      <c r="D69" s="744"/>
      <c r="E69" s="200"/>
      <c r="F69" s="66">
        <f>IF(E69&gt;(1200*G87),(1200*G87),E69)</f>
        <v>0</v>
      </c>
      <c r="G69" s="805"/>
      <c r="H69" s="38"/>
    </row>
    <row r="70" spans="2:8" ht="15" customHeight="1">
      <c r="B70" s="728" t="s">
        <v>344</v>
      </c>
      <c r="C70" s="703" t="s">
        <v>41</v>
      </c>
      <c r="D70" s="744"/>
      <c r="E70" s="200"/>
      <c r="F70" s="66">
        <f>E70/2</f>
        <v>0</v>
      </c>
      <c r="G70" s="805"/>
      <c r="H70" s="38"/>
    </row>
    <row r="71" spans="2:8" ht="15" customHeight="1">
      <c r="B71" s="729"/>
      <c r="C71" s="703" t="s">
        <v>244</v>
      </c>
      <c r="D71" s="743"/>
      <c r="E71" s="200"/>
      <c r="F71" s="66">
        <f>IF(E71&gt;Sheet1!L33,Sheet1!L33,E71)</f>
        <v>0</v>
      </c>
      <c r="G71" s="805"/>
    </row>
    <row r="72" spans="2:8" ht="15" customHeight="1">
      <c r="B72" s="789" t="s">
        <v>340</v>
      </c>
      <c r="C72" s="774" t="s">
        <v>131</v>
      </c>
      <c r="D72" s="774"/>
      <c r="E72" s="774"/>
      <c r="F72" s="774"/>
      <c r="G72" s="774"/>
    </row>
    <row r="73" spans="2:8" ht="15" customHeight="1">
      <c r="B73" s="790"/>
      <c r="C73" s="719"/>
      <c r="D73" s="720"/>
      <c r="E73" s="721"/>
      <c r="F73" s="200"/>
      <c r="G73" s="781">
        <f>ROUND(SUM(F73:F77),-3)</f>
        <v>0</v>
      </c>
    </row>
    <row r="74" spans="2:8" ht="15" customHeight="1">
      <c r="B74" s="790"/>
      <c r="C74" s="719"/>
      <c r="D74" s="720"/>
      <c r="E74" s="721"/>
      <c r="F74" s="200"/>
      <c r="G74" s="781"/>
    </row>
    <row r="75" spans="2:8" ht="15" customHeight="1">
      <c r="B75" s="790"/>
      <c r="C75" s="719"/>
      <c r="D75" s="720"/>
      <c r="E75" s="721"/>
      <c r="F75" s="200"/>
      <c r="G75" s="781"/>
    </row>
    <row r="76" spans="2:8" ht="15" customHeight="1">
      <c r="B76" s="790"/>
      <c r="C76" s="719"/>
      <c r="D76" s="720"/>
      <c r="E76" s="721"/>
      <c r="F76" s="200"/>
      <c r="G76" s="781"/>
    </row>
    <row r="77" spans="2:8" ht="15" customHeight="1">
      <c r="B77" s="790"/>
      <c r="C77" s="719"/>
      <c r="D77" s="720"/>
      <c r="E77" s="721"/>
      <c r="F77" s="200"/>
      <c r="G77" s="781"/>
    </row>
    <row r="78" spans="2:8" ht="15" customHeight="1">
      <c r="B78" s="75"/>
      <c r="G78" s="72"/>
    </row>
    <row r="79" spans="2:8" ht="15" customHeight="1">
      <c r="B79" s="701" t="s">
        <v>345</v>
      </c>
      <c r="C79" s="774" t="s">
        <v>292</v>
      </c>
      <c r="D79" s="774"/>
      <c r="E79" s="774"/>
      <c r="F79" s="774"/>
      <c r="G79" s="774"/>
    </row>
    <row r="80" spans="2:8" ht="15" customHeight="1">
      <c r="B80" s="701"/>
      <c r="C80" s="702" t="s">
        <v>323</v>
      </c>
      <c r="D80" s="702"/>
      <c r="E80" s="702"/>
      <c r="F80" s="200"/>
      <c r="G80" s="202">
        <f>F80</f>
        <v>0</v>
      </c>
    </row>
    <row r="81" spans="2:7" ht="15" customHeight="1">
      <c r="B81" s="75"/>
      <c r="G81" s="72"/>
    </row>
    <row r="82" spans="2:7" ht="16" customHeight="1">
      <c r="B82" s="808" t="s">
        <v>217</v>
      </c>
      <c r="C82" s="736" t="s">
        <v>261</v>
      </c>
      <c r="D82" s="736"/>
      <c r="E82" s="774"/>
      <c r="F82" s="774"/>
      <c r="G82" s="774"/>
    </row>
    <row r="83" spans="2:7">
      <c r="B83" s="809"/>
      <c r="C83" s="703" t="s">
        <v>248</v>
      </c>
      <c r="D83" s="743"/>
      <c r="E83" s="744"/>
      <c r="F83" s="197"/>
      <c r="G83" s="813">
        <f>SUM(F83:F85)</f>
        <v>0</v>
      </c>
    </row>
    <row r="84" spans="2:7">
      <c r="B84" s="809"/>
      <c r="C84" s="703" t="s">
        <v>191</v>
      </c>
      <c r="D84" s="743"/>
      <c r="E84" s="744"/>
      <c r="F84" s="197">
        <v>0</v>
      </c>
      <c r="G84" s="813"/>
    </row>
    <row r="85" spans="2:7">
      <c r="B85" s="809"/>
      <c r="C85" s="810" t="s">
        <v>249</v>
      </c>
      <c r="D85" s="811"/>
      <c r="E85" s="812"/>
      <c r="F85" s="197">
        <v>0</v>
      </c>
      <c r="G85" s="813"/>
    </row>
    <row r="86" spans="2:7"/>
    <row r="87" spans="2:7">
      <c r="B87" s="797" t="s">
        <v>122</v>
      </c>
      <c r="C87" s="797"/>
      <c r="D87" s="797"/>
      <c r="E87" s="797"/>
      <c r="F87" s="797"/>
      <c r="G87" s="159">
        <f>'R.capital'!G68</f>
        <v>49799</v>
      </c>
    </row>
    <row r="88" spans="2:7"/>
    <row r="89" spans="2:7"/>
    <row r="90" spans="2:7"/>
    <row r="91" spans="2:7"/>
    <row r="92" spans="2:7"/>
    <row r="93" spans="2:7"/>
    <row r="94" spans="2:7"/>
    <row r="96" spans="2:7"/>
    <row r="98"/>
    <row r="99"/>
    <row r="100"/>
    <row r="101"/>
  </sheetData>
  <mergeCells count="104">
    <mergeCell ref="B82:B85"/>
    <mergeCell ref="C85:E85"/>
    <mergeCell ref="G24:G36"/>
    <mergeCell ref="C37:G37"/>
    <mergeCell ref="C42:E42"/>
    <mergeCell ref="C43:E43"/>
    <mergeCell ref="G38:G56"/>
    <mergeCell ref="C55:E55"/>
    <mergeCell ref="C80:E80"/>
    <mergeCell ref="C79:G79"/>
    <mergeCell ref="B63:G63"/>
    <mergeCell ref="B72:B77"/>
    <mergeCell ref="C72:G72"/>
    <mergeCell ref="C73:E73"/>
    <mergeCell ref="G73:G77"/>
    <mergeCell ref="C74:E74"/>
    <mergeCell ref="C75:E75"/>
    <mergeCell ref="C76:E76"/>
    <mergeCell ref="G83:G85"/>
    <mergeCell ref="C83:E83"/>
    <mergeCell ref="C84:E84"/>
    <mergeCell ref="C56:E56"/>
    <mergeCell ref="C44:E44"/>
    <mergeCell ref="C48:E48"/>
    <mergeCell ref="C49:E49"/>
    <mergeCell ref="C50:E50"/>
    <mergeCell ref="C51:E51"/>
    <mergeCell ref="C52:E52"/>
    <mergeCell ref="C53:E53"/>
    <mergeCell ref="C54:E54"/>
    <mergeCell ref="C82:G82"/>
    <mergeCell ref="C47:E47"/>
    <mergeCell ref="B66:B68"/>
    <mergeCell ref="C77:E77"/>
    <mergeCell ref="C71:D71"/>
    <mergeCell ref="C58:E58"/>
    <mergeCell ref="C59:E59"/>
    <mergeCell ref="C64:D64"/>
    <mergeCell ref="C57:G57"/>
    <mergeCell ref="G58:G62"/>
    <mergeCell ref="C60:E60"/>
    <mergeCell ref="C61:E61"/>
    <mergeCell ref="C62:E62"/>
    <mergeCell ref="G64:G71"/>
    <mergeCell ref="B79:B80"/>
    <mergeCell ref="C66:D66"/>
    <mergeCell ref="C67:D67"/>
    <mergeCell ref="C68:D68"/>
    <mergeCell ref="C3:E3"/>
    <mergeCell ref="C4:E4"/>
    <mergeCell ref="C5:E5"/>
    <mergeCell ref="C6:E6"/>
    <mergeCell ref="C7:E7"/>
    <mergeCell ref="C8:E8"/>
    <mergeCell ref="C9:E9"/>
    <mergeCell ref="C10:E10"/>
    <mergeCell ref="C11:E11"/>
    <mergeCell ref="C45:E45"/>
    <mergeCell ref="C46:E46"/>
    <mergeCell ref="C31:E31"/>
    <mergeCell ref="C32:E32"/>
    <mergeCell ref="C33:E33"/>
    <mergeCell ref="C38:E38"/>
    <mergeCell ref="C12:E12"/>
    <mergeCell ref="C15:E15"/>
    <mergeCell ref="C16:E16"/>
    <mergeCell ref="C18:E18"/>
    <mergeCell ref="C19:E19"/>
    <mergeCell ref="C20:E20"/>
    <mergeCell ref="C26:E26"/>
    <mergeCell ref="C34:E34"/>
    <mergeCell ref="C35:E35"/>
    <mergeCell ref="C27:E27"/>
    <mergeCell ref="C28:E28"/>
    <mergeCell ref="C29:E29"/>
    <mergeCell ref="C30:E30"/>
    <mergeCell ref="C24:D24"/>
    <mergeCell ref="C21:E21"/>
    <mergeCell ref="C22:E22"/>
    <mergeCell ref="C25:E25"/>
    <mergeCell ref="C2:G2"/>
    <mergeCell ref="B87:F87"/>
    <mergeCell ref="C23:G23"/>
    <mergeCell ref="G3:G16"/>
    <mergeCell ref="B57:B62"/>
    <mergeCell ref="C70:D70"/>
    <mergeCell ref="C69:D69"/>
    <mergeCell ref="B1:B16"/>
    <mergeCell ref="G18:G22"/>
    <mergeCell ref="B17:B22"/>
    <mergeCell ref="C17:G17"/>
    <mergeCell ref="B23:B36"/>
    <mergeCell ref="B37:B56"/>
    <mergeCell ref="C1:G1"/>
    <mergeCell ref="C13:E13"/>
    <mergeCell ref="C14:E14"/>
    <mergeCell ref="F64:F65"/>
    <mergeCell ref="C65:D65"/>
    <mergeCell ref="B64:B65"/>
    <mergeCell ref="B70:B71"/>
    <mergeCell ref="C36:E36"/>
    <mergeCell ref="C41:E41"/>
    <mergeCell ref="C40:E40"/>
    <mergeCell ref="C39:E39"/>
  </mergeCells>
  <hyperlinks>
    <hyperlink ref="B1:B16" location="'FORMULARIO 210'!Z16" display="Renglón 74" xr:uid="{00000000-0004-0000-0A00-000000000000}"/>
    <hyperlink ref="B17:B22" location="'FORMULARIO 210'!Z17" display="Renglón 75" xr:uid="{00000000-0004-0000-0A00-000001000000}"/>
    <hyperlink ref="B23:B36" location="'FORMULARIO 210'!Z18" display="Renglón 76" xr:uid="{00000000-0004-0000-0A00-000002000000}"/>
    <hyperlink ref="B37:B56" location="'FORMULARIO 210'!Z19" display="Renglón 77" xr:uid="{00000000-0004-0000-0A00-000003000000}"/>
    <hyperlink ref="B57:B62" location="'FORMULARIO 210'!Z21" display="Renglón 79" xr:uid="{00000000-0004-0000-0A00-000004000000}"/>
    <hyperlink ref="B82:B84" location="'210'!T38" display="Renglón 60" xr:uid="{00000000-0004-0000-0A00-000005000000}"/>
    <hyperlink ref="B82:B85" location="'FORMULARIO 210'!L34" display="Renglón 96" xr:uid="{00000000-0004-0000-0A00-000006000000}"/>
    <hyperlink ref="B64:B65" location="'FORMULARIO 210'!Z22" display="R. 80" xr:uid="{00000000-0004-0000-0A00-000007000000}"/>
    <hyperlink ref="B66:B68" location="'FORMULARIO 210'!Z23" display="R. 81" xr:uid="{00000000-0004-0000-0A00-000008000000}"/>
    <hyperlink ref="B69" location="'FORMULARIO 210'!Z25" display="R. 83" xr:uid="{00000000-0004-0000-0A00-000009000000}"/>
    <hyperlink ref="B70:B71" location="'FORMULARIO 210'!Z26" display="R. 84" xr:uid="{00000000-0004-0000-0A00-00000A000000}"/>
    <hyperlink ref="B72:B77" location="'FORMULARIO 210'!Z21" display="Renglón 79" xr:uid="{00000000-0004-0000-0A00-00000B000000}"/>
    <hyperlink ref="B79:B80" location="'FORMULARIO 210'!Z31" display="R. 89" xr:uid="{00000000-0004-0000-0A00-00000C000000}"/>
  </hyperlinks>
  <pageMargins left="0.7" right="0.7" top="0.75" bottom="0.75" header="0.3" footer="0.3"/>
  <pageSetup scale="62" orientation="portrait" r:id="rId1"/>
  <rowBreaks count="1" manualBreakCount="1">
    <brk id="81"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P146"/>
  <sheetViews>
    <sheetView topLeftCell="A21" zoomScale="110" zoomScaleNormal="110" workbookViewId="0">
      <selection activeCell="F11" sqref="F11"/>
    </sheetView>
  </sheetViews>
  <sheetFormatPr baseColWidth="10" defaultColWidth="0" defaultRowHeight="18" zeroHeight="1"/>
  <cols>
    <col min="1" max="1" width="3.5" style="286" customWidth="1"/>
    <col min="2" max="2" width="4.1640625" style="170" customWidth="1"/>
    <col min="3" max="3" width="48.33203125" style="275" customWidth="1"/>
    <col min="4" max="4" width="35.83203125" style="275" customWidth="1"/>
    <col min="5" max="5" width="38" style="275" customWidth="1"/>
    <col min="6" max="6" width="16.5" style="275" customWidth="1"/>
    <col min="7" max="7" width="17.5" style="275" customWidth="1"/>
    <col min="8" max="8" width="19.83203125" style="275" customWidth="1"/>
    <col min="9" max="9" width="13.5" style="275" bestFit="1" customWidth="1"/>
    <col min="10" max="15" width="11" style="275" customWidth="1"/>
    <col min="16" max="16" width="0" style="275" hidden="1" customWidth="1"/>
    <col min="17" max="16384" width="11" style="275" hidden="1"/>
  </cols>
  <sheetData>
    <row r="1" spans="1:16" ht="20">
      <c r="A1" s="816" t="s">
        <v>410</v>
      </c>
      <c r="B1" s="816"/>
      <c r="C1" s="816"/>
      <c r="D1" s="816"/>
      <c r="E1" s="816"/>
      <c r="F1" s="816"/>
      <c r="G1" s="816"/>
    </row>
    <row r="2" spans="1:16" ht="19" customHeight="1">
      <c r="A2" s="817" t="s">
        <v>452</v>
      </c>
      <c r="B2" s="818" t="s">
        <v>411</v>
      </c>
      <c r="C2" s="392" t="s">
        <v>782</v>
      </c>
      <c r="D2" s="405" t="s">
        <v>412</v>
      </c>
      <c r="E2" s="820" t="s">
        <v>413</v>
      </c>
      <c r="F2" s="820"/>
      <c r="G2" s="820"/>
    </row>
    <row r="3" spans="1:16" ht="30">
      <c r="A3" s="817"/>
      <c r="B3" s="819"/>
      <c r="C3" s="821" t="s">
        <v>835</v>
      </c>
      <c r="D3" s="822">
        <v>450000000</v>
      </c>
      <c r="E3" s="417" t="s">
        <v>414</v>
      </c>
      <c r="F3" s="418">
        <v>0</v>
      </c>
      <c r="G3" s="823">
        <f>IF(ROUND(SUM(F3+F7+F8+F9),-3)&gt;D3,D3,ROUND(SUM(F3+F7+F8+F9),-3))</f>
        <v>450000000</v>
      </c>
      <c r="H3" s="815" t="s">
        <v>846</v>
      </c>
      <c r="I3" s="815"/>
      <c r="J3" s="815"/>
    </row>
    <row r="4" spans="1:16">
      <c r="A4" s="817"/>
      <c r="B4" s="819"/>
      <c r="C4" s="821"/>
      <c r="D4" s="822"/>
      <c r="E4" s="417" t="s">
        <v>408</v>
      </c>
      <c r="F4" s="418">
        <v>305000000</v>
      </c>
      <c r="G4" s="823"/>
      <c r="H4" s="815"/>
      <c r="I4" s="815"/>
      <c r="J4" s="815"/>
    </row>
    <row r="5" spans="1:16">
      <c r="A5" s="817"/>
      <c r="B5" s="819"/>
      <c r="C5" s="821"/>
      <c r="D5" s="822"/>
      <c r="E5" s="417" t="s">
        <v>721</v>
      </c>
      <c r="F5" s="419">
        <v>41959</v>
      </c>
      <c r="G5" s="823"/>
      <c r="H5" s="815"/>
      <c r="I5" s="815"/>
      <c r="J5" s="815"/>
    </row>
    <row r="6" spans="1:16">
      <c r="A6" s="817"/>
      <c r="B6" s="819"/>
      <c r="C6" s="821"/>
      <c r="D6" s="822"/>
      <c r="E6" s="417" t="s">
        <v>415</v>
      </c>
      <c r="F6" s="419">
        <v>45838</v>
      </c>
      <c r="G6" s="823"/>
      <c r="H6" s="815"/>
      <c r="I6" s="815"/>
      <c r="J6" s="815"/>
    </row>
    <row r="7" spans="1:16" ht="19">
      <c r="A7" s="817"/>
      <c r="B7" s="819"/>
      <c r="C7" s="821"/>
      <c r="D7" s="822"/>
      <c r="E7" s="420" t="s">
        <v>722</v>
      </c>
      <c r="F7" s="421">
        <f>+'REAJUST FISCAL'!F57</f>
        <v>581022713.11056495</v>
      </c>
      <c r="G7" s="823"/>
      <c r="H7" s="815"/>
      <c r="I7" s="815"/>
      <c r="J7" s="815"/>
      <c r="P7" s="275" t="s">
        <v>416</v>
      </c>
    </row>
    <row r="8" spans="1:16" ht="19">
      <c r="A8" s="817"/>
      <c r="B8" s="819"/>
      <c r="C8" s="821"/>
      <c r="D8" s="822"/>
      <c r="E8" s="420" t="s">
        <v>719</v>
      </c>
      <c r="F8" s="418">
        <v>0</v>
      </c>
      <c r="G8" s="823"/>
      <c r="H8" s="815"/>
      <c r="I8" s="815"/>
      <c r="J8" s="815"/>
      <c r="P8" s="275" t="s">
        <v>416</v>
      </c>
    </row>
    <row r="9" spans="1:16">
      <c r="A9" s="817"/>
      <c r="B9" s="819"/>
      <c r="C9" s="821"/>
      <c r="D9" s="822"/>
      <c r="E9" s="420" t="s">
        <v>720</v>
      </c>
      <c r="F9" s="418">
        <v>0</v>
      </c>
      <c r="G9" s="823"/>
      <c r="H9" s="815"/>
      <c r="I9" s="815"/>
      <c r="J9" s="815"/>
    </row>
    <row r="10" spans="1:16">
      <c r="A10" s="817"/>
      <c r="B10" s="819"/>
      <c r="C10" s="821"/>
      <c r="D10" s="822"/>
      <c r="E10" s="417" t="s">
        <v>408</v>
      </c>
      <c r="F10" s="422">
        <v>0</v>
      </c>
      <c r="G10" s="823">
        <f>IF(ROUND(SUM(F14+F15+F16),-3)&gt;D3,D3,ROUND(SUM(F14+F15+F16),-3))</f>
        <v>0</v>
      </c>
      <c r="H10" s="814" t="s">
        <v>783</v>
      </c>
      <c r="I10" s="814"/>
      <c r="J10" s="814"/>
    </row>
    <row r="11" spans="1:16">
      <c r="A11" s="817"/>
      <c r="B11" s="819"/>
      <c r="C11" s="821"/>
      <c r="D11" s="822"/>
      <c r="E11" s="417" t="s">
        <v>723</v>
      </c>
      <c r="F11" s="423" t="s">
        <v>550</v>
      </c>
      <c r="G11" s="823"/>
      <c r="H11" s="814"/>
      <c r="I11" s="814"/>
      <c r="J11" s="814"/>
    </row>
    <row r="12" spans="1:16">
      <c r="A12" s="817"/>
      <c r="B12" s="819"/>
      <c r="C12" s="821"/>
      <c r="D12" s="822"/>
      <c r="E12" s="417" t="s">
        <v>480</v>
      </c>
      <c r="F12" s="423">
        <v>2001</v>
      </c>
      <c r="G12" s="823"/>
      <c r="H12" s="814"/>
      <c r="I12" s="814"/>
      <c r="J12" s="814"/>
    </row>
    <row r="13" spans="1:16" ht="45">
      <c r="A13" s="817"/>
      <c r="B13" s="819"/>
      <c r="C13" s="821"/>
      <c r="D13" s="822"/>
      <c r="E13" s="420" t="s">
        <v>419</v>
      </c>
      <c r="F13" s="424">
        <f>IF(G.OCAS!F11="Acciones y aportes",VLOOKUP(G.OCAS!F12,Sheet1!$B$5:$F$75,2),IF(G.OCAS!F11="BIENES URBANOS",VLOOKUP(G.OCAS!F12,Sheet1!$B$5:$F$75,3),IF(G.OCAS!F11="BIENES RURALES",VLOOKUP(G.OCAS!F12,Sheet1!$B$5:$F$75,5),IF(G.OCAS!F11="Bienes Raíces Rurales dedicados a actividades agropecuarias",VLOOKUP(G.OCAS!F12,Sheet1!$B$5:$F$75,4),0))))</f>
        <v>8.86</v>
      </c>
      <c r="G13" s="823"/>
      <c r="H13" s="814"/>
      <c r="I13" s="814"/>
      <c r="J13" s="814"/>
    </row>
    <row r="14" spans="1:16">
      <c r="A14" s="817"/>
      <c r="B14" s="819"/>
      <c r="C14" s="821"/>
      <c r="D14" s="822"/>
      <c r="E14" s="417" t="s">
        <v>420</v>
      </c>
      <c r="F14" s="418">
        <f>+F10*G.OCAS!F13</f>
        <v>0</v>
      </c>
      <c r="G14" s="823"/>
      <c r="H14" s="814"/>
      <c r="I14" s="814"/>
      <c r="J14" s="814"/>
    </row>
    <row r="15" spans="1:16">
      <c r="A15" s="817"/>
      <c r="B15" s="819"/>
      <c r="C15" s="821"/>
      <c r="D15" s="822"/>
      <c r="E15" s="420" t="s">
        <v>417</v>
      </c>
      <c r="F15" s="418"/>
      <c r="G15" s="823"/>
      <c r="H15" s="814"/>
      <c r="I15" s="814"/>
      <c r="J15" s="814"/>
    </row>
    <row r="16" spans="1:16">
      <c r="A16" s="817"/>
      <c r="B16" s="819"/>
      <c r="C16" s="821"/>
      <c r="D16" s="822"/>
      <c r="E16" s="420" t="s">
        <v>418</v>
      </c>
      <c r="F16" s="418"/>
      <c r="G16" s="823"/>
      <c r="H16" s="814"/>
      <c r="I16" s="814"/>
      <c r="J16" s="814"/>
    </row>
    <row r="17" spans="1:10" ht="30" customHeight="1">
      <c r="A17" s="817"/>
      <c r="B17" s="818"/>
      <c r="C17" s="824"/>
      <c r="D17" s="827"/>
      <c r="E17" s="417" t="s">
        <v>414</v>
      </c>
      <c r="F17" s="418">
        <v>0</v>
      </c>
      <c r="G17" s="829">
        <f>IF(ROUND(SUM(F17+F21+F22+F23),-3)&gt;D17,D17,ROUND(SUM(F17+F21+F22+F23),-3))</f>
        <v>0</v>
      </c>
      <c r="H17" s="815" t="s">
        <v>846</v>
      </c>
      <c r="I17" s="815"/>
      <c r="J17" s="815"/>
    </row>
    <row r="18" spans="1:10">
      <c r="A18" s="817"/>
      <c r="B18" s="818"/>
      <c r="C18" s="824"/>
      <c r="D18" s="827"/>
      <c r="E18" s="417" t="s">
        <v>408</v>
      </c>
      <c r="F18" s="418">
        <v>150000000</v>
      </c>
      <c r="G18" s="829"/>
      <c r="H18" s="815"/>
      <c r="I18" s="815"/>
      <c r="J18" s="815"/>
    </row>
    <row r="19" spans="1:10">
      <c r="A19" s="817"/>
      <c r="B19" s="818"/>
      <c r="C19" s="824"/>
      <c r="D19" s="827"/>
      <c r="E19" s="417" t="s">
        <v>721</v>
      </c>
      <c r="F19" s="419">
        <v>44392</v>
      </c>
      <c r="G19" s="829"/>
      <c r="H19" s="815"/>
      <c r="I19" s="815"/>
      <c r="J19" s="815"/>
    </row>
    <row r="20" spans="1:10">
      <c r="A20" s="817"/>
      <c r="B20" s="818"/>
      <c r="C20" s="824"/>
      <c r="D20" s="827"/>
      <c r="E20" s="417" t="s">
        <v>415</v>
      </c>
      <c r="F20" s="419">
        <v>45856</v>
      </c>
      <c r="G20" s="829"/>
      <c r="H20" s="815"/>
      <c r="I20" s="815"/>
      <c r="J20" s="815"/>
    </row>
    <row r="21" spans="1:10">
      <c r="A21" s="817"/>
      <c r="B21" s="818"/>
      <c r="C21" s="825"/>
      <c r="D21" s="828"/>
      <c r="E21" s="420" t="s">
        <v>722</v>
      </c>
      <c r="F21" s="418">
        <f>+'REAJUST FISCAL'!F117</f>
        <v>215634050.41104567</v>
      </c>
      <c r="G21" s="829"/>
      <c r="H21" s="815"/>
      <c r="I21" s="815"/>
      <c r="J21" s="815"/>
    </row>
    <row r="22" spans="1:10">
      <c r="A22" s="817"/>
      <c r="B22" s="818"/>
      <c r="C22" s="825"/>
      <c r="D22" s="828"/>
      <c r="E22" s="420" t="s">
        <v>719</v>
      </c>
      <c r="F22" s="158"/>
      <c r="G22" s="829"/>
      <c r="H22" s="815"/>
      <c r="I22" s="815"/>
      <c r="J22" s="815"/>
    </row>
    <row r="23" spans="1:10">
      <c r="A23" s="817"/>
      <c r="B23" s="818"/>
      <c r="C23" s="825"/>
      <c r="D23" s="828"/>
      <c r="E23" s="420" t="s">
        <v>720</v>
      </c>
      <c r="F23" s="158"/>
      <c r="G23" s="830"/>
      <c r="H23" s="815"/>
      <c r="I23" s="815"/>
      <c r="J23" s="815"/>
    </row>
    <row r="24" spans="1:10">
      <c r="A24" s="817"/>
      <c r="B24" s="818"/>
      <c r="C24" s="825"/>
      <c r="D24" s="828"/>
      <c r="E24" s="417" t="s">
        <v>408</v>
      </c>
      <c r="F24" s="422">
        <v>0</v>
      </c>
      <c r="G24" s="831">
        <f>IF(ROUND(SUM(F28+F29+F30),-3)&gt;D17,D17,ROUND(SUM(F28+F29+F30),-3))</f>
        <v>0</v>
      </c>
      <c r="H24" s="814" t="s">
        <v>783</v>
      </c>
      <c r="I24" s="814"/>
      <c r="J24" s="814"/>
    </row>
    <row r="25" spans="1:10">
      <c r="A25" s="817"/>
      <c r="B25" s="818"/>
      <c r="C25" s="825"/>
      <c r="D25" s="828"/>
      <c r="E25" s="417" t="s">
        <v>723</v>
      </c>
      <c r="F25" s="423" t="s">
        <v>550</v>
      </c>
      <c r="G25" s="831"/>
      <c r="H25" s="814"/>
      <c r="I25" s="814"/>
      <c r="J25" s="814"/>
    </row>
    <row r="26" spans="1:10">
      <c r="A26" s="817"/>
      <c r="B26" s="818"/>
      <c r="C26" s="825"/>
      <c r="D26" s="828"/>
      <c r="E26" s="417" t="s">
        <v>480</v>
      </c>
      <c r="F26" s="423">
        <v>2021</v>
      </c>
      <c r="G26" s="831"/>
      <c r="H26" s="814"/>
      <c r="I26" s="814"/>
      <c r="J26" s="814"/>
    </row>
    <row r="27" spans="1:10" ht="45">
      <c r="A27" s="817"/>
      <c r="B27" s="818"/>
      <c r="C27" s="825"/>
      <c r="D27" s="828"/>
      <c r="E27" s="420" t="s">
        <v>419</v>
      </c>
      <c r="F27" s="424">
        <f>IF(G.OCAS!F25="Acciones y aportes",VLOOKUP(G.OCAS!F26,Sheet1!$B$5:$F$75,2),IF(G.OCAS!F25="BIENES URBANOS",VLOOKUP(G.OCAS!F26,Sheet1!$B$5:$F$75,3),IF(G.OCAS!F25="BIENES RURALES",VLOOKUP(G.OCAS!F26,Sheet1!$B$5:$F$75,5),IF(G.OCAS!F25="Bienes Raíces Rurales dedicados a actividades agropecuarias",VLOOKUP(G.OCAS!F26,Sheet1!$B$5:$F$75,4),0))))</f>
        <v>1.1599999999999999</v>
      </c>
      <c r="G27" s="831"/>
      <c r="H27" s="814"/>
      <c r="I27" s="814"/>
      <c r="J27" s="814"/>
    </row>
    <row r="28" spans="1:10">
      <c r="A28" s="817"/>
      <c r="B28" s="818"/>
      <c r="C28" s="825"/>
      <c r="D28" s="828"/>
      <c r="E28" s="417" t="s">
        <v>420</v>
      </c>
      <c r="F28" s="418">
        <f>+F24*F27</f>
        <v>0</v>
      </c>
      <c r="G28" s="831"/>
      <c r="H28" s="814"/>
      <c r="I28" s="814"/>
      <c r="J28" s="814"/>
    </row>
    <row r="29" spans="1:10">
      <c r="A29" s="817"/>
      <c r="B29" s="818"/>
      <c r="C29" s="825"/>
      <c r="D29" s="828"/>
      <c r="E29" s="420" t="s">
        <v>417</v>
      </c>
      <c r="F29" s="418"/>
      <c r="G29" s="831"/>
      <c r="H29" s="814"/>
      <c r="I29" s="814"/>
      <c r="J29" s="814"/>
    </row>
    <row r="30" spans="1:10">
      <c r="A30" s="817"/>
      <c r="B30" s="818"/>
      <c r="C30" s="825"/>
      <c r="D30" s="828"/>
      <c r="E30" s="420" t="s">
        <v>418</v>
      </c>
      <c r="F30" s="418"/>
      <c r="G30" s="831"/>
      <c r="H30" s="814"/>
      <c r="I30" s="814"/>
      <c r="J30" s="814"/>
    </row>
    <row r="31" spans="1:10" ht="30" customHeight="1">
      <c r="A31" s="817"/>
      <c r="B31" s="832" t="s">
        <v>421</v>
      </c>
      <c r="C31" s="833">
        <v>0</v>
      </c>
      <c r="D31" s="835">
        <v>0</v>
      </c>
      <c r="E31" s="417" t="s">
        <v>414</v>
      </c>
      <c r="F31" s="418">
        <v>0</v>
      </c>
      <c r="G31" s="830">
        <f>IF(ROUND(SUM(F31+F35+F36+F37),-3)&gt;D31,D31,ROUND(SUM(F31+F35+F36+F37),-3))</f>
        <v>0</v>
      </c>
      <c r="H31" s="815" t="s">
        <v>846</v>
      </c>
      <c r="I31" s="815"/>
      <c r="J31" s="815"/>
    </row>
    <row r="32" spans="1:10">
      <c r="A32" s="817"/>
      <c r="B32" s="832"/>
      <c r="C32" s="834"/>
      <c r="D32" s="836"/>
      <c r="E32" s="417" t="s">
        <v>408</v>
      </c>
      <c r="F32" s="418">
        <v>0</v>
      </c>
      <c r="G32" s="831"/>
      <c r="H32" s="815"/>
      <c r="I32" s="815"/>
      <c r="J32" s="815"/>
    </row>
    <row r="33" spans="1:10">
      <c r="A33" s="817"/>
      <c r="B33" s="832"/>
      <c r="C33" s="834"/>
      <c r="D33" s="836"/>
      <c r="E33" s="417" t="s">
        <v>721</v>
      </c>
      <c r="F33" s="419">
        <v>44576</v>
      </c>
      <c r="G33" s="831"/>
      <c r="H33" s="815"/>
      <c r="I33" s="815"/>
      <c r="J33" s="815"/>
    </row>
    <row r="34" spans="1:10">
      <c r="A34" s="817"/>
      <c r="B34" s="832"/>
      <c r="C34" s="834"/>
      <c r="D34" s="836"/>
      <c r="E34" s="417" t="s">
        <v>415</v>
      </c>
      <c r="F34" s="419">
        <v>45321</v>
      </c>
      <c r="G34" s="831"/>
      <c r="H34" s="815"/>
      <c r="I34" s="815"/>
      <c r="J34" s="815"/>
    </row>
    <row r="35" spans="1:10">
      <c r="A35" s="817"/>
      <c r="B35" s="832"/>
      <c r="C35" s="834"/>
      <c r="D35" s="836"/>
      <c r="E35" s="420" t="s">
        <v>722</v>
      </c>
      <c r="F35" s="311"/>
      <c r="G35" s="831"/>
      <c r="H35" s="815"/>
      <c r="I35" s="815"/>
      <c r="J35" s="815"/>
    </row>
    <row r="36" spans="1:10">
      <c r="A36" s="817"/>
      <c r="B36" s="832"/>
      <c r="C36" s="834"/>
      <c r="D36" s="836"/>
      <c r="E36" s="420" t="s">
        <v>719</v>
      </c>
      <c r="F36" s="311"/>
      <c r="G36" s="831"/>
      <c r="H36" s="815"/>
      <c r="I36" s="815"/>
      <c r="J36" s="815"/>
    </row>
    <row r="37" spans="1:10">
      <c r="A37" s="817"/>
      <c r="B37" s="832"/>
      <c r="C37" s="834"/>
      <c r="D37" s="836"/>
      <c r="E37" s="420" t="s">
        <v>720</v>
      </c>
      <c r="F37" s="158"/>
      <c r="G37" s="831"/>
      <c r="H37" s="815"/>
      <c r="I37" s="815"/>
      <c r="J37" s="815"/>
    </row>
    <row r="38" spans="1:10" ht="28" customHeight="1">
      <c r="A38" s="817"/>
      <c r="B38" s="832"/>
      <c r="C38" s="834"/>
      <c r="D38" s="836"/>
      <c r="E38" s="417" t="s">
        <v>408</v>
      </c>
      <c r="F38" s="422">
        <v>0</v>
      </c>
      <c r="G38" s="831">
        <f>IF(ROUND(SUM(F42+F43+F44),-3)&gt;D31,D31,ROUND(SUM(F42+F43+F44),-3))</f>
        <v>0</v>
      </c>
      <c r="H38" s="814" t="s">
        <v>783</v>
      </c>
      <c r="I38" s="814"/>
      <c r="J38" s="814"/>
    </row>
    <row r="39" spans="1:10">
      <c r="A39" s="817"/>
      <c r="B39" s="832"/>
      <c r="C39" s="834"/>
      <c r="D39" s="836"/>
      <c r="E39" s="417" t="s">
        <v>723</v>
      </c>
      <c r="F39" s="423" t="s">
        <v>550</v>
      </c>
      <c r="G39" s="831"/>
      <c r="H39" s="814"/>
      <c r="I39" s="814"/>
      <c r="J39" s="814"/>
    </row>
    <row r="40" spans="1:10">
      <c r="A40" s="817"/>
      <c r="B40" s="832"/>
      <c r="C40" s="834"/>
      <c r="D40" s="836"/>
      <c r="E40" s="417" t="s">
        <v>480</v>
      </c>
      <c r="F40" s="423">
        <v>2021</v>
      </c>
      <c r="G40" s="831"/>
      <c r="H40" s="814"/>
      <c r="I40" s="814"/>
      <c r="J40" s="814"/>
    </row>
    <row r="41" spans="1:10" ht="45">
      <c r="A41" s="817"/>
      <c r="B41" s="832"/>
      <c r="C41" s="834"/>
      <c r="D41" s="836"/>
      <c r="E41" s="420" t="s">
        <v>419</v>
      </c>
      <c r="F41" s="424">
        <f>IF(G.OCAS!F39="Acciones y aportes",VLOOKUP(G.OCAS!F40,Sheet1!$B$5:$F$75,2),IF(G.OCAS!F39="BIENES URBANOS",VLOOKUP(G.OCAS!F40,Sheet1!$B$5:$F$75,3),IF(G.OCAS!F39="BIENES RURALES",VLOOKUP(G.OCAS!F40,Sheet1!$B$5:$F$75,5),IF(G.OCAS!F39="Bienes Raíces Rurales dedicados a actividades agropecuarias",VLOOKUP(G.OCAS!F40,Sheet1!$B$5:$F$75,4),0))))</f>
        <v>1.1599999999999999</v>
      </c>
      <c r="G41" s="831"/>
      <c r="H41" s="814"/>
      <c r="I41" s="814"/>
      <c r="J41" s="814"/>
    </row>
    <row r="42" spans="1:10">
      <c r="A42" s="817"/>
      <c r="B42" s="832"/>
      <c r="C42" s="834"/>
      <c r="D42" s="836"/>
      <c r="E42" s="417" t="s">
        <v>420</v>
      </c>
      <c r="F42" s="418">
        <f>+F38*F41</f>
        <v>0</v>
      </c>
      <c r="G42" s="831"/>
      <c r="H42" s="814"/>
      <c r="I42" s="814"/>
      <c r="J42" s="814"/>
    </row>
    <row r="43" spans="1:10">
      <c r="A43" s="817"/>
      <c r="B43" s="832"/>
      <c r="C43" s="834"/>
      <c r="D43" s="836"/>
      <c r="E43" s="420" t="s">
        <v>417</v>
      </c>
      <c r="F43" s="418"/>
      <c r="G43" s="831"/>
      <c r="H43" s="814"/>
      <c r="I43" s="814"/>
      <c r="J43" s="814"/>
    </row>
    <row r="44" spans="1:10">
      <c r="A44" s="817"/>
      <c r="B44" s="832"/>
      <c r="C44" s="834"/>
      <c r="D44" s="836"/>
      <c r="E44" s="420" t="s">
        <v>418</v>
      </c>
      <c r="F44" s="418"/>
      <c r="G44" s="831"/>
      <c r="H44" s="814"/>
      <c r="I44" s="814"/>
      <c r="J44" s="814"/>
    </row>
    <row r="45" spans="1:10">
      <c r="A45" s="817"/>
      <c r="B45" s="278"/>
      <c r="C45" s="826" t="s">
        <v>478</v>
      </c>
      <c r="D45" s="826"/>
      <c r="E45" s="826"/>
      <c r="F45" s="826"/>
      <c r="G45" s="279"/>
    </row>
    <row r="46" spans="1:10">
      <c r="A46" s="817"/>
      <c r="B46" s="832" t="s">
        <v>422</v>
      </c>
      <c r="C46" s="280" t="s">
        <v>717</v>
      </c>
      <c r="D46" s="281">
        <v>0</v>
      </c>
      <c r="E46" s="276"/>
      <c r="F46" s="276"/>
      <c r="G46" s="837"/>
    </row>
    <row r="47" spans="1:10" ht="30">
      <c r="A47" s="817"/>
      <c r="B47" s="832"/>
      <c r="C47" s="280" t="s">
        <v>718</v>
      </c>
      <c r="D47" s="281">
        <v>0</v>
      </c>
      <c r="E47" s="276"/>
      <c r="F47" s="276"/>
      <c r="G47" s="837"/>
    </row>
    <row r="48" spans="1:10">
      <c r="A48" s="817"/>
      <c r="B48" s="832"/>
      <c r="C48" s="280" t="s">
        <v>409</v>
      </c>
      <c r="D48" s="281">
        <v>0</v>
      </c>
      <c r="E48" s="276"/>
      <c r="F48" s="276"/>
      <c r="G48" s="837"/>
    </row>
    <row r="49" spans="1:7">
      <c r="A49" s="817"/>
      <c r="B49" s="832"/>
      <c r="C49" s="280" t="s">
        <v>423</v>
      </c>
      <c r="D49" s="281">
        <v>0</v>
      </c>
      <c r="E49" s="276"/>
      <c r="F49" s="276"/>
      <c r="G49" s="837"/>
    </row>
    <row r="50" spans="1:7">
      <c r="A50" s="817"/>
      <c r="B50" s="832"/>
      <c r="C50" s="280" t="s">
        <v>424</v>
      </c>
      <c r="D50" s="281">
        <v>0</v>
      </c>
      <c r="E50" s="276"/>
      <c r="F50" s="276"/>
      <c r="G50" s="837"/>
    </row>
    <row r="51" spans="1:7">
      <c r="A51" s="817"/>
      <c r="B51" s="832"/>
      <c r="C51" s="280" t="s">
        <v>425</v>
      </c>
      <c r="D51" s="281">
        <v>0</v>
      </c>
      <c r="E51" s="276"/>
      <c r="F51" s="276"/>
      <c r="G51" s="837"/>
    </row>
    <row r="52" spans="1:7">
      <c r="A52" s="817"/>
      <c r="B52" s="832"/>
      <c r="C52" s="280" t="s">
        <v>425</v>
      </c>
      <c r="D52" s="281">
        <v>0</v>
      </c>
      <c r="E52" s="276"/>
      <c r="F52" s="276"/>
      <c r="G52" s="837"/>
    </row>
    <row r="53" spans="1:7">
      <c r="A53" s="817"/>
      <c r="B53" s="832"/>
      <c r="C53" s="280" t="s">
        <v>425</v>
      </c>
      <c r="D53" s="281">
        <v>0</v>
      </c>
      <c r="E53" s="276"/>
      <c r="F53" s="276"/>
      <c r="G53" s="837"/>
    </row>
    <row r="54" spans="1:7">
      <c r="A54" s="817"/>
      <c r="B54" s="832" t="s">
        <v>426</v>
      </c>
      <c r="C54" s="158"/>
      <c r="D54" s="281">
        <v>0</v>
      </c>
      <c r="E54" s="837"/>
      <c r="F54" s="837"/>
      <c r="G54" s="837"/>
    </row>
    <row r="55" spans="1:7">
      <c r="A55" s="817"/>
      <c r="B55" s="832"/>
      <c r="C55" s="158"/>
      <c r="D55" s="281">
        <v>0</v>
      </c>
      <c r="E55" s="837"/>
      <c r="F55" s="837"/>
      <c r="G55" s="837"/>
    </row>
    <row r="56" spans="1:7">
      <c r="A56" s="817"/>
      <c r="B56" s="832"/>
      <c r="C56" s="158"/>
      <c r="D56" s="281">
        <v>0</v>
      </c>
      <c r="E56" s="837"/>
      <c r="F56" s="837"/>
      <c r="G56" s="837"/>
    </row>
    <row r="57" spans="1:7">
      <c r="A57" s="817"/>
      <c r="B57" s="832" t="s">
        <v>427</v>
      </c>
      <c r="C57" s="158"/>
      <c r="D57" s="281">
        <v>0</v>
      </c>
      <c r="E57" s="837"/>
      <c r="F57" s="837"/>
      <c r="G57" s="837"/>
    </row>
    <row r="58" spans="1:7">
      <c r="A58" s="817"/>
      <c r="B58" s="832"/>
      <c r="C58" s="158"/>
      <c r="D58" s="281">
        <v>0</v>
      </c>
      <c r="E58" s="837"/>
      <c r="F58" s="837"/>
      <c r="G58" s="837"/>
    </row>
    <row r="59" spans="1:7">
      <c r="A59" s="817"/>
      <c r="B59" s="838"/>
      <c r="C59" s="277"/>
      <c r="D59" s="282">
        <v>0</v>
      </c>
      <c r="E59" s="837"/>
      <c r="F59" s="837"/>
      <c r="G59" s="837"/>
    </row>
    <row r="60" spans="1:7">
      <c r="A60" s="817"/>
      <c r="B60" s="832" t="s">
        <v>428</v>
      </c>
      <c r="C60" s="277"/>
      <c r="D60" s="282">
        <v>0</v>
      </c>
      <c r="E60" s="283"/>
      <c r="F60" s="283"/>
      <c r="G60" s="283"/>
    </row>
    <row r="61" spans="1:7">
      <c r="A61" s="817"/>
      <c r="B61" s="832"/>
      <c r="C61" s="277" t="s">
        <v>455</v>
      </c>
      <c r="D61" s="282">
        <v>0</v>
      </c>
      <c r="E61" s="283"/>
      <c r="F61" s="283"/>
      <c r="G61" s="283"/>
    </row>
    <row r="62" spans="1:7">
      <c r="A62" s="817"/>
      <c r="B62" s="838"/>
      <c r="C62" s="277"/>
      <c r="D62" s="282">
        <v>0</v>
      </c>
      <c r="E62" s="283"/>
      <c r="F62" s="283"/>
      <c r="G62" s="283"/>
    </row>
    <row r="63" spans="1:7">
      <c r="A63" s="817"/>
      <c r="B63" s="832" t="s">
        <v>429</v>
      </c>
      <c r="C63" s="158"/>
      <c r="D63" s="281">
        <v>0</v>
      </c>
      <c r="E63" s="837"/>
      <c r="F63" s="837"/>
      <c r="G63" s="837"/>
    </row>
    <row r="64" spans="1:7">
      <c r="A64" s="817"/>
      <c r="B64" s="832"/>
      <c r="C64" s="158"/>
      <c r="D64" s="281">
        <v>0</v>
      </c>
      <c r="E64" s="837"/>
      <c r="F64" s="837"/>
      <c r="G64" s="837"/>
    </row>
    <row r="65" spans="1:8">
      <c r="A65" s="817"/>
      <c r="B65" s="832"/>
      <c r="C65" s="158"/>
      <c r="D65" s="281">
        <v>0</v>
      </c>
      <c r="E65" s="837"/>
      <c r="F65" s="837"/>
      <c r="G65" s="837"/>
    </row>
    <row r="66" spans="1:8">
      <c r="A66" s="817"/>
      <c r="B66" s="832"/>
      <c r="C66" s="158"/>
      <c r="D66" s="281">
        <v>0</v>
      </c>
      <c r="E66" s="837"/>
      <c r="F66" s="837"/>
      <c r="G66" s="837"/>
    </row>
    <row r="67" spans="1:8">
      <c r="A67" s="817"/>
      <c r="B67" s="854" t="s">
        <v>535</v>
      </c>
      <c r="C67" s="854"/>
      <c r="D67" s="284">
        <f>ROUND(SUM(D3:D62),-3)</f>
        <v>450000000</v>
      </c>
      <c r="E67" s="855" t="s">
        <v>430</v>
      </c>
      <c r="F67" s="855"/>
      <c r="G67" s="856">
        <f>ROUND(SUM(G3:G44),-3)</f>
        <v>450000000</v>
      </c>
    </row>
    <row r="68" spans="1:8">
      <c r="A68" s="817"/>
      <c r="B68" s="854" t="s">
        <v>431</v>
      </c>
      <c r="C68" s="854"/>
      <c r="D68" s="284">
        <f>ROUND(SUM(D63:D66),-3)</f>
        <v>0</v>
      </c>
      <c r="E68" s="855"/>
      <c r="F68" s="855"/>
      <c r="G68" s="856"/>
    </row>
    <row r="69" spans="1:8">
      <c r="A69" s="817"/>
      <c r="B69" s="857" t="s">
        <v>432</v>
      </c>
      <c r="C69" s="857"/>
      <c r="D69" s="285">
        <f>SUM(D67:D68)</f>
        <v>450000000</v>
      </c>
      <c r="E69" s="855"/>
      <c r="F69" s="855"/>
      <c r="G69" s="856"/>
    </row>
    <row r="70" spans="1:8"/>
    <row r="71" spans="1:8" ht="19" thickBot="1"/>
    <row r="72" spans="1:8" ht="19" thickBot="1">
      <c r="A72" s="840" t="s">
        <v>467</v>
      </c>
      <c r="B72" s="841"/>
      <c r="C72" s="841"/>
      <c r="D72" s="841"/>
      <c r="E72" s="841"/>
      <c r="F72" s="841"/>
      <c r="G72" s="841"/>
      <c r="H72" s="842"/>
    </row>
    <row r="73" spans="1:8" ht="42">
      <c r="A73" s="843" t="s">
        <v>453</v>
      </c>
      <c r="B73" s="844"/>
      <c r="C73" s="287" t="s">
        <v>42</v>
      </c>
      <c r="D73" s="288"/>
      <c r="E73" s="288" t="s">
        <v>426</v>
      </c>
      <c r="F73" s="288" t="s">
        <v>427</v>
      </c>
      <c r="G73" s="288" t="s">
        <v>433</v>
      </c>
      <c r="H73" s="287" t="s">
        <v>421</v>
      </c>
    </row>
    <row r="74" spans="1:8">
      <c r="A74" s="843"/>
      <c r="B74" s="844"/>
      <c r="C74" s="289" t="s">
        <v>434</v>
      </c>
      <c r="D74" s="290">
        <f>ROUND(SUM(D46:D53),-3)</f>
        <v>0</v>
      </c>
      <c r="E74" s="290">
        <f>ROUND(SUM(D54:D56),-3)</f>
        <v>0</v>
      </c>
      <c r="F74" s="290">
        <f>ROUND(SUM(D57:D59),-3)</f>
        <v>0</v>
      </c>
      <c r="G74" s="290">
        <f>ROUND(SUM(D60:D62),-3)</f>
        <v>0</v>
      </c>
      <c r="H74" s="291">
        <f>ROUND(SUM(D31),-3)</f>
        <v>0</v>
      </c>
    </row>
    <row r="75" spans="1:8">
      <c r="A75" s="843"/>
      <c r="B75" s="844"/>
      <c r="C75" s="289" t="s">
        <v>435</v>
      </c>
      <c r="D75" s="290" t="s">
        <v>438</v>
      </c>
      <c r="E75" s="290" t="s">
        <v>438</v>
      </c>
      <c r="F75" s="290" t="s">
        <v>438</v>
      </c>
      <c r="G75" s="290" t="s">
        <v>438</v>
      </c>
      <c r="H75" s="291">
        <f>ROUND(SUM(G31:G44),-3)</f>
        <v>0</v>
      </c>
    </row>
    <row r="76" spans="1:8">
      <c r="A76" s="843"/>
      <c r="B76" s="844"/>
      <c r="C76" s="289" t="s">
        <v>436</v>
      </c>
      <c r="D76" s="290">
        <f>+D74</f>
        <v>0</v>
      </c>
      <c r="E76" s="290">
        <f t="shared" ref="E76:G76" si="0">+E74</f>
        <v>0</v>
      </c>
      <c r="F76" s="290">
        <f t="shared" si="0"/>
        <v>0</v>
      </c>
      <c r="G76" s="290">
        <f t="shared" si="0"/>
        <v>0</v>
      </c>
      <c r="H76" s="290">
        <f>H74-H75</f>
        <v>0</v>
      </c>
    </row>
    <row r="77" spans="1:8">
      <c r="A77" s="843"/>
      <c r="B77" s="844"/>
      <c r="C77" s="289" t="s">
        <v>437</v>
      </c>
      <c r="D77" s="292">
        <v>1</v>
      </c>
      <c r="E77" s="293" t="s">
        <v>438</v>
      </c>
      <c r="F77" s="293" t="s">
        <v>438</v>
      </c>
      <c r="G77" s="293" t="s">
        <v>438</v>
      </c>
      <c r="H77" s="293" t="s">
        <v>438</v>
      </c>
    </row>
    <row r="78" spans="1:8">
      <c r="A78" s="843"/>
      <c r="B78" s="844"/>
      <c r="C78" s="294" t="s">
        <v>439</v>
      </c>
      <c r="D78" s="293">
        <f>IF(MAX(D46)&gt;E84,E84,MAX(D46))</f>
        <v>0</v>
      </c>
      <c r="E78" s="293" t="s">
        <v>438</v>
      </c>
      <c r="F78" s="293" t="s">
        <v>438</v>
      </c>
      <c r="G78" s="293" t="s">
        <v>438</v>
      </c>
      <c r="H78" s="293" t="s">
        <v>438</v>
      </c>
    </row>
    <row r="79" spans="1:8">
      <c r="A79" s="843"/>
      <c r="B79" s="844"/>
      <c r="C79" s="294" t="s">
        <v>440</v>
      </c>
      <c r="D79" s="293">
        <f>IF(MAX(D47)&gt;E85,E85,MAX(D47))</f>
        <v>0</v>
      </c>
      <c r="E79" s="293" t="s">
        <v>438</v>
      </c>
      <c r="F79" s="293" t="s">
        <v>438</v>
      </c>
      <c r="G79" s="293" t="s">
        <v>438</v>
      </c>
      <c r="H79" s="293" t="s">
        <v>438</v>
      </c>
    </row>
    <row r="80" spans="1:8">
      <c r="A80" s="843"/>
      <c r="B80" s="844"/>
      <c r="C80" s="294" t="s">
        <v>441</v>
      </c>
      <c r="D80" s="845">
        <f>MIN(D76+E76+F76-D78-D79,E86)</f>
        <v>0</v>
      </c>
      <c r="E80" s="846"/>
      <c r="F80" s="847"/>
      <c r="G80" s="293" t="s">
        <v>438</v>
      </c>
      <c r="H80" s="293" t="s">
        <v>438</v>
      </c>
    </row>
    <row r="81" spans="1:8">
      <c r="A81" s="843"/>
      <c r="B81" s="844"/>
      <c r="C81" s="294" t="s">
        <v>536</v>
      </c>
      <c r="D81" s="293" t="s">
        <v>438</v>
      </c>
      <c r="E81" s="293" t="s">
        <v>438</v>
      </c>
      <c r="F81" s="293" t="s">
        <v>438</v>
      </c>
      <c r="G81" s="295">
        <f>MIN(E87,G74*20%)</f>
        <v>0</v>
      </c>
      <c r="H81" s="293" t="s">
        <v>438</v>
      </c>
    </row>
    <row r="82" spans="1:8">
      <c r="A82" s="843"/>
      <c r="B82" s="844"/>
      <c r="C82" s="296" t="s">
        <v>442</v>
      </c>
      <c r="D82" s="293" t="s">
        <v>438</v>
      </c>
      <c r="E82" s="293" t="s">
        <v>438</v>
      </c>
      <c r="F82" s="293" t="s">
        <v>438</v>
      </c>
      <c r="G82" s="293" t="s">
        <v>438</v>
      </c>
      <c r="H82" s="295">
        <f>IF(H76&gt;E88,E88,H76)</f>
        <v>0</v>
      </c>
    </row>
    <row r="83" spans="1:8">
      <c r="A83" s="843"/>
      <c r="B83" s="844"/>
      <c r="C83" s="297" t="s">
        <v>443</v>
      </c>
      <c r="D83" s="848">
        <f>ROUND((D78+D79+D80+G81+H82),-3)</f>
        <v>0</v>
      </c>
      <c r="E83" s="849"/>
      <c r="F83" s="849"/>
      <c r="G83" s="849"/>
      <c r="H83" s="850"/>
    </row>
    <row r="84" spans="1:8">
      <c r="A84" s="843"/>
      <c r="B84" s="844"/>
      <c r="C84" s="298" t="s">
        <v>439</v>
      </c>
      <c r="D84" s="299">
        <v>13000</v>
      </c>
      <c r="E84" s="299">
        <f>D84*$E$89</f>
        <v>611845000</v>
      </c>
      <c r="F84" s="300">
        <f>E84/D77</f>
        <v>611845000</v>
      </c>
      <c r="G84" s="168"/>
      <c r="H84" s="168"/>
    </row>
    <row r="85" spans="1:8">
      <c r="A85" s="843"/>
      <c r="B85" s="844"/>
      <c r="C85" s="294" t="s">
        <v>440</v>
      </c>
      <c r="D85" s="301">
        <v>6500</v>
      </c>
      <c r="E85" s="301">
        <f>D85*$E$89</f>
        <v>305922500</v>
      </c>
      <c r="F85" s="302"/>
      <c r="G85" s="168"/>
      <c r="H85" s="168"/>
    </row>
    <row r="86" spans="1:8">
      <c r="A86" s="843"/>
      <c r="B86" s="844"/>
      <c r="C86" s="294" t="s">
        <v>441</v>
      </c>
      <c r="D86" s="301">
        <v>3250</v>
      </c>
      <c r="E86" s="301">
        <f>D86*$E$89</f>
        <v>152961250</v>
      </c>
      <c r="F86" s="303"/>
      <c r="G86" s="170"/>
      <c r="H86" s="304"/>
    </row>
    <row r="87" spans="1:8">
      <c r="A87" s="843"/>
      <c r="B87" s="844"/>
      <c r="C87" s="294" t="s">
        <v>444</v>
      </c>
      <c r="D87" s="301">
        <v>1625</v>
      </c>
      <c r="E87" s="301">
        <f>D87*$E$89</f>
        <v>76480625</v>
      </c>
      <c r="F87" s="305"/>
    </row>
    <row r="88" spans="1:8">
      <c r="A88" s="843"/>
      <c r="B88" s="844"/>
      <c r="C88" s="296" t="s">
        <v>445</v>
      </c>
      <c r="D88" s="301">
        <v>5000</v>
      </c>
      <c r="E88" s="301">
        <f>D88*$E$89</f>
        <v>235325000</v>
      </c>
      <c r="F88" s="306"/>
      <c r="H88" s="168"/>
    </row>
    <row r="89" spans="1:8">
      <c r="A89" s="843"/>
      <c r="B89" s="844"/>
      <c r="C89" s="296" t="s">
        <v>122</v>
      </c>
      <c r="D89" s="296"/>
      <c r="E89" s="301">
        <v>47065</v>
      </c>
      <c r="F89" s="306"/>
      <c r="H89" s="168"/>
    </row>
    <row r="90" spans="1:8"/>
    <row r="91" spans="1:8"/>
    <row r="92" spans="1:8">
      <c r="B92" s="851" t="s">
        <v>446</v>
      </c>
      <c r="C92" s="852"/>
      <c r="D92" s="853"/>
    </row>
    <row r="93" spans="1:8">
      <c r="B93" s="839" t="s">
        <v>454</v>
      </c>
      <c r="C93" s="307" t="s">
        <v>42</v>
      </c>
      <c r="D93" s="307" t="s">
        <v>111</v>
      </c>
    </row>
    <row r="94" spans="1:8" ht="24" customHeight="1">
      <c r="B94" s="839"/>
      <c r="C94" s="308" t="s">
        <v>523</v>
      </c>
      <c r="D94" s="66">
        <f>D67</f>
        <v>450000000</v>
      </c>
    </row>
    <row r="95" spans="1:8">
      <c r="B95" s="839"/>
      <c r="C95" s="308" t="s">
        <v>447</v>
      </c>
      <c r="D95" s="66">
        <f>G67</f>
        <v>450000000</v>
      </c>
    </row>
    <row r="96" spans="1:8">
      <c r="B96" s="839"/>
      <c r="C96" s="308" t="s">
        <v>448</v>
      </c>
      <c r="D96" s="66">
        <f>ROUND(D83,-3)</f>
        <v>0</v>
      </c>
    </row>
    <row r="97" spans="2:4" ht="34">
      <c r="B97" s="839"/>
      <c r="C97" s="308" t="s">
        <v>524</v>
      </c>
      <c r="D97" s="309">
        <f>D94-D95-D96</f>
        <v>0</v>
      </c>
    </row>
    <row r="98" spans="2:4" ht="34">
      <c r="B98" s="839"/>
      <c r="C98" s="308" t="s">
        <v>449</v>
      </c>
      <c r="D98" s="309">
        <f>D68</f>
        <v>0</v>
      </c>
    </row>
    <row r="99" spans="2:4">
      <c r="B99" s="839"/>
      <c r="C99" s="308" t="s">
        <v>525</v>
      </c>
      <c r="D99" s="310">
        <f>ROUND((D97*0.15),-3)</f>
        <v>0</v>
      </c>
    </row>
    <row r="100" spans="2:4">
      <c r="B100" s="839"/>
      <c r="C100" s="308" t="s">
        <v>450</v>
      </c>
      <c r="D100" s="310">
        <f>ROUND((D98*0.2),-3)</f>
        <v>0</v>
      </c>
    </row>
    <row r="101" spans="2:4">
      <c r="B101" s="839"/>
      <c r="C101" s="308" t="s">
        <v>451</v>
      </c>
      <c r="D101" s="68">
        <f>ROUND(SUM(D99:D100),-3)</f>
        <v>0</v>
      </c>
    </row>
    <row r="102" spans="2:4"/>
    <row r="103" spans="2:4"/>
    <row r="104" spans="2:4"/>
    <row r="105" spans="2:4"/>
    <row r="106" spans="2:4"/>
    <row r="107" spans="2:4"/>
    <row r="108" spans="2:4"/>
    <row r="109" spans="2:4"/>
    <row r="110" spans="2:4"/>
    <row r="111" spans="2:4"/>
    <row r="112" spans="2:4"/>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sheetData>
  <mergeCells count="50">
    <mergeCell ref="B93:B101"/>
    <mergeCell ref="B60:B62"/>
    <mergeCell ref="B63:B66"/>
    <mergeCell ref="E63:E66"/>
    <mergeCell ref="F63:F66"/>
    <mergeCell ref="A72:H72"/>
    <mergeCell ref="A73:B89"/>
    <mergeCell ref="D80:F80"/>
    <mergeCell ref="D83:H83"/>
    <mergeCell ref="B92:D92"/>
    <mergeCell ref="B67:C67"/>
    <mergeCell ref="E67:F69"/>
    <mergeCell ref="G67:G69"/>
    <mergeCell ref="B68:C68"/>
    <mergeCell ref="B69:C69"/>
    <mergeCell ref="B57:B59"/>
    <mergeCell ref="E57:E59"/>
    <mergeCell ref="F57:F59"/>
    <mergeCell ref="G57:G59"/>
    <mergeCell ref="G63:G66"/>
    <mergeCell ref="G31:G37"/>
    <mergeCell ref="G38:G44"/>
    <mergeCell ref="B54:B56"/>
    <mergeCell ref="E54:E56"/>
    <mergeCell ref="F54:F56"/>
    <mergeCell ref="G54:G56"/>
    <mergeCell ref="B46:B53"/>
    <mergeCell ref="G46:G53"/>
    <mergeCell ref="A1:G1"/>
    <mergeCell ref="A2:A69"/>
    <mergeCell ref="B2:B30"/>
    <mergeCell ref="E2:G2"/>
    <mergeCell ref="C3:C16"/>
    <mergeCell ref="D3:D16"/>
    <mergeCell ref="G3:G9"/>
    <mergeCell ref="G10:G16"/>
    <mergeCell ref="C17:C30"/>
    <mergeCell ref="C45:F45"/>
    <mergeCell ref="D17:D30"/>
    <mergeCell ref="G17:G23"/>
    <mergeCell ref="G24:G30"/>
    <mergeCell ref="B31:B44"/>
    <mergeCell ref="C31:C44"/>
    <mergeCell ref="D31:D44"/>
    <mergeCell ref="H38:J44"/>
    <mergeCell ref="H3:J9"/>
    <mergeCell ref="H10:J16"/>
    <mergeCell ref="H17:J23"/>
    <mergeCell ref="H24:J30"/>
    <mergeCell ref="H31:J37"/>
  </mergeCells>
  <dataValidations count="1">
    <dataValidation type="list" allowBlank="1" showInputMessage="1" showErrorMessage="1" sqref="D77 F46" xr:uid="{00000000-0002-0000-0E00-000000000000}">
      <formula1>"1,2,3,4,5,6,7,8,9"</formula1>
    </dataValidation>
  </dataValidations>
  <hyperlinks>
    <hyperlink ref="A73:A89" location="'210'!AO19" display="Renglón 79" xr:uid="{00000000-0004-0000-0E00-000000000000}"/>
    <hyperlink ref="B93:B101" location="'210'!K36" display="Renglón 96" xr:uid="{00000000-0004-0000-0E00-000001000000}"/>
    <hyperlink ref="A73:B89" location="'210'!K23" display="Renglón 83" xr:uid="{00000000-0004-0000-0E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55FE9B4-5E7F-8841-ABE1-377D626F51B0}">
          <x14:formula1>
            <xm:f>Sheet1!$B$6:$B$74</xm:f>
          </x14:formula1>
          <xm:sqref>F12 F26 F40</xm:sqref>
        </x14:dataValidation>
        <x14:dataValidation type="list" allowBlank="1" showInputMessage="1" showErrorMessage="1" xr:uid="{0EE9A330-B1C9-334F-B6B6-5FC2D81FBB49}">
          <x14:formula1>
            <xm:f>Sheet1!$C$5:$F$5</xm:f>
          </x14:formula1>
          <xm:sqref>F11 F39 F25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AF49-1342-584D-B018-E0061C36D30F}">
  <sheetPr>
    <tabColor rgb="FF0070C0"/>
  </sheetPr>
  <dimension ref="B4:N179"/>
  <sheetViews>
    <sheetView topLeftCell="A94" zoomScale="110" zoomScaleNormal="110" workbookViewId="0">
      <selection activeCell="F117" sqref="F117"/>
    </sheetView>
  </sheetViews>
  <sheetFormatPr baseColWidth="10" defaultRowHeight="16"/>
  <cols>
    <col min="1" max="3" width="10.83203125" style="16"/>
    <col min="4" max="6" width="26.1640625" style="16" customWidth="1"/>
    <col min="7" max="7" width="52.6640625" style="16" customWidth="1"/>
    <col min="8" max="8" width="10.83203125" style="16"/>
    <col min="9" max="9" width="14.1640625" style="16" bestFit="1" customWidth="1"/>
    <col min="10" max="10" width="15.5" style="16" customWidth="1"/>
    <col min="11" max="16384" width="10.83203125" style="16"/>
  </cols>
  <sheetData>
    <row r="4" spans="2:14">
      <c r="B4" s="393" t="s">
        <v>724</v>
      </c>
      <c r="C4" s="393" t="s">
        <v>725</v>
      </c>
      <c r="D4" s="394" t="s">
        <v>726</v>
      </c>
      <c r="E4" s="393" t="s">
        <v>727</v>
      </c>
      <c r="F4" s="393" t="s">
        <v>728</v>
      </c>
      <c r="G4" s="393" t="s">
        <v>729</v>
      </c>
    </row>
    <row r="5" spans="2:14" ht="18" customHeight="1">
      <c r="B5" s="395">
        <v>1974</v>
      </c>
      <c r="C5" s="396">
        <v>0.08</v>
      </c>
      <c r="D5" s="397">
        <f>+IF(B5='REAJUST FISCAL'!$I$11,G.OCAS!$F$4,0)</f>
        <v>0</v>
      </c>
      <c r="E5" s="398">
        <f t="shared" ref="E5:E36" si="0">+IF(B5=$I$11,C5*$M$11*D5,IF(B5=$I$12,C5*$M$12*D5,C5*D5))</f>
        <v>0</v>
      </c>
      <c r="F5" s="399">
        <f>+'REAJUST FISCAL'!D5+E5</f>
        <v>0</v>
      </c>
      <c r="G5" s="400" t="s">
        <v>730</v>
      </c>
    </row>
    <row r="6" spans="2:14" ht="18" customHeight="1">
      <c r="B6" s="395">
        <v>1975</v>
      </c>
      <c r="C6" s="396">
        <v>0.08</v>
      </c>
      <c r="D6" s="397">
        <f>+IF(B6='REAJUST FISCAL'!$I$11,G.OCAS!$F$4,F5)</f>
        <v>0</v>
      </c>
      <c r="E6" s="398">
        <f t="shared" si="0"/>
        <v>0</v>
      </c>
      <c r="F6" s="399">
        <f t="shared" ref="F6:F37" si="1">+D6+E6</f>
        <v>0</v>
      </c>
      <c r="G6" s="400" t="s">
        <v>731</v>
      </c>
    </row>
    <row r="7" spans="2:14" ht="18" customHeight="1">
      <c r="B7" s="395">
        <v>1976</v>
      </c>
      <c r="C7" s="396">
        <v>0.08</v>
      </c>
      <c r="D7" s="397">
        <f>+IF(B7='REAJUST FISCAL'!$I$11,G.OCAS!$F$4,F6)</f>
        <v>0</v>
      </c>
      <c r="E7" s="398">
        <f t="shared" si="0"/>
        <v>0</v>
      </c>
      <c r="F7" s="399">
        <f t="shared" si="1"/>
        <v>0</v>
      </c>
      <c r="G7" s="400" t="s">
        <v>732</v>
      </c>
    </row>
    <row r="8" spans="2:14" ht="18" customHeight="1">
      <c r="B8" s="395">
        <v>1977</v>
      </c>
      <c r="C8" s="396">
        <v>0.14000000000000001</v>
      </c>
      <c r="D8" s="397">
        <f>+IF(B8='REAJUST FISCAL'!$I$11,G.OCAS!$F$4,F7)</f>
        <v>0</v>
      </c>
      <c r="E8" s="398">
        <f t="shared" si="0"/>
        <v>0</v>
      </c>
      <c r="F8" s="399">
        <f t="shared" si="1"/>
        <v>0</v>
      </c>
      <c r="G8" s="400" t="s">
        <v>733</v>
      </c>
    </row>
    <row r="9" spans="2:14" ht="18" customHeight="1">
      <c r="B9" s="395">
        <v>1978</v>
      </c>
      <c r="C9" s="396">
        <v>9.5000000000000001E-2</v>
      </c>
      <c r="D9" s="397">
        <f>+IF(B9='REAJUST FISCAL'!$I$11,G.OCAS!$F$4,F8)</f>
        <v>0</v>
      </c>
      <c r="E9" s="398">
        <f t="shared" si="0"/>
        <v>0</v>
      </c>
      <c r="F9" s="399">
        <f t="shared" si="1"/>
        <v>0</v>
      </c>
      <c r="G9" s="400" t="s">
        <v>734</v>
      </c>
    </row>
    <row r="10" spans="2:14" ht="18" customHeight="1">
      <c r="B10" s="395">
        <v>1979</v>
      </c>
      <c r="C10" s="396">
        <v>0.24399999999999999</v>
      </c>
      <c r="D10" s="397">
        <f>+IF(B10='REAJUST FISCAL'!$I$11,G.OCAS!$F$4,F9)</f>
        <v>0</v>
      </c>
      <c r="E10" s="398">
        <f t="shared" si="0"/>
        <v>0</v>
      </c>
      <c r="F10" s="399">
        <f t="shared" si="1"/>
        <v>0</v>
      </c>
      <c r="G10" s="400" t="s">
        <v>735</v>
      </c>
    </row>
    <row r="11" spans="2:14" ht="18" customHeight="1">
      <c r="B11" s="395">
        <v>1980</v>
      </c>
      <c r="C11" s="396">
        <v>0.2472</v>
      </c>
      <c r="D11" s="397">
        <f>+IF(B11='REAJUST FISCAL'!$I$11,G.OCAS!$F$4,F10)</f>
        <v>0</v>
      </c>
      <c r="E11" s="398">
        <f t="shared" si="0"/>
        <v>0</v>
      </c>
      <c r="F11" s="399">
        <f t="shared" si="1"/>
        <v>0</v>
      </c>
      <c r="G11" s="400" t="s">
        <v>736</v>
      </c>
      <c r="I11" s="275">
        <f>+YEAR(G.OCAS!F5)</f>
        <v>2014</v>
      </c>
      <c r="J11" s="275" t="str">
        <f>+CONCATENATE("31/12/",+I11)</f>
        <v>31/12/2014</v>
      </c>
      <c r="K11" s="275">
        <v>360</v>
      </c>
      <c r="L11" s="408">
        <f>+_xlfn.DAYS(J11,G.OCAS!F5)</f>
        <v>45</v>
      </c>
      <c r="M11" s="407">
        <f>+L11/K11</f>
        <v>0.125</v>
      </c>
      <c r="N11" s="410">
        <f>+M11*C50</f>
        <v>4.1999999999999997E-3</v>
      </c>
    </row>
    <row r="12" spans="2:14" ht="18" customHeight="1">
      <c r="B12" s="395">
        <v>1981</v>
      </c>
      <c r="C12" s="396">
        <v>0.27750000000000002</v>
      </c>
      <c r="D12" s="397">
        <f>+IF(B12='REAJUST FISCAL'!$I$11,G.OCAS!$F$4,F11)</f>
        <v>0</v>
      </c>
      <c r="E12" s="398">
        <f t="shared" si="0"/>
        <v>0</v>
      </c>
      <c r="F12" s="399">
        <f t="shared" si="1"/>
        <v>0</v>
      </c>
      <c r="G12" s="400" t="s">
        <v>737</v>
      </c>
      <c r="I12" s="275">
        <f>+YEAR(G.OCAS!F6)</f>
        <v>2025</v>
      </c>
      <c r="J12" s="409">
        <v>45292</v>
      </c>
      <c r="K12" s="275">
        <v>360</v>
      </c>
      <c r="L12" s="408">
        <f>+_xlfn.DAYS(G.OCAS!F6,J12)</f>
        <v>546</v>
      </c>
      <c r="M12" s="407">
        <f>+L12/K12</f>
        <v>1.5166666666666666</v>
      </c>
    </row>
    <row r="13" spans="2:14" ht="18" customHeight="1">
      <c r="B13" s="395">
        <v>1982</v>
      </c>
      <c r="C13" s="396">
        <v>0.23469999999999999</v>
      </c>
      <c r="D13" s="397">
        <f>+IF(B13='REAJUST FISCAL'!$I$11,G.OCAS!$F$4,F12)</f>
        <v>0</v>
      </c>
      <c r="E13" s="398">
        <f t="shared" si="0"/>
        <v>0</v>
      </c>
      <c r="F13" s="399">
        <f t="shared" si="1"/>
        <v>0</v>
      </c>
      <c r="G13" s="400" t="s">
        <v>738</v>
      </c>
    </row>
    <row r="14" spans="2:14" ht="18" customHeight="1">
      <c r="B14" s="395">
        <v>1983</v>
      </c>
      <c r="C14" s="396">
        <v>0.19420000000000001</v>
      </c>
      <c r="D14" s="397">
        <f>+IF(B14='REAJUST FISCAL'!$I$11,G.OCAS!$F$4,F13)</f>
        <v>0</v>
      </c>
      <c r="E14" s="398">
        <f t="shared" si="0"/>
        <v>0</v>
      </c>
      <c r="F14" s="399">
        <f t="shared" si="1"/>
        <v>0</v>
      </c>
      <c r="G14" s="400" t="s">
        <v>739</v>
      </c>
    </row>
    <row r="15" spans="2:14" ht="18" customHeight="1">
      <c r="B15" s="395">
        <v>1984</v>
      </c>
      <c r="C15" s="396">
        <v>0.1517</v>
      </c>
      <c r="D15" s="397">
        <f>+IF(B15='REAJUST FISCAL'!$I$11,G.OCAS!$F$4,F14)</f>
        <v>0</v>
      </c>
      <c r="E15" s="398">
        <f t="shared" si="0"/>
        <v>0</v>
      </c>
      <c r="F15" s="399">
        <f t="shared" si="1"/>
        <v>0</v>
      </c>
      <c r="G15" s="400" t="s">
        <v>740</v>
      </c>
    </row>
    <row r="16" spans="2:14" ht="18" customHeight="1">
      <c r="B16" s="395">
        <v>1985</v>
      </c>
      <c r="C16" s="396">
        <v>0.24510000000000001</v>
      </c>
      <c r="D16" s="397">
        <f>+IF(B16='REAJUST FISCAL'!$I$11,G.OCAS!$F$4,F15)</f>
        <v>0</v>
      </c>
      <c r="E16" s="398">
        <f t="shared" si="0"/>
        <v>0</v>
      </c>
      <c r="F16" s="399">
        <f t="shared" si="1"/>
        <v>0</v>
      </c>
      <c r="G16" s="400" t="s">
        <v>741</v>
      </c>
    </row>
    <row r="17" spans="2:9" ht="18" customHeight="1">
      <c r="B17" s="395">
        <v>1986</v>
      </c>
      <c r="C17" s="396">
        <v>0.16300000000000001</v>
      </c>
      <c r="D17" s="397">
        <f>+IF(B17='REAJUST FISCAL'!$I$11,G.OCAS!$F$4,F16)</f>
        <v>0</v>
      </c>
      <c r="E17" s="398">
        <f t="shared" si="0"/>
        <v>0</v>
      </c>
      <c r="F17" s="399">
        <f t="shared" si="1"/>
        <v>0</v>
      </c>
      <c r="G17" s="400" t="s">
        <v>742</v>
      </c>
      <c r="I17" s="406"/>
    </row>
    <row r="18" spans="2:9" ht="18" customHeight="1">
      <c r="B18" s="395">
        <v>1987</v>
      </c>
      <c r="C18" s="396">
        <v>0.16789999999999999</v>
      </c>
      <c r="D18" s="397">
        <f>+IF(B18='REAJUST FISCAL'!$I$11,G.OCAS!$F$4,F17)</f>
        <v>0</v>
      </c>
      <c r="E18" s="398">
        <f t="shared" si="0"/>
        <v>0</v>
      </c>
      <c r="F18" s="399">
        <f t="shared" si="1"/>
        <v>0</v>
      </c>
      <c r="G18" s="400" t="s">
        <v>743</v>
      </c>
    </row>
    <row r="19" spans="2:9" ht="18" customHeight="1">
      <c r="B19" s="395">
        <v>1988</v>
      </c>
      <c r="C19" s="396">
        <v>0.23649999999999999</v>
      </c>
      <c r="D19" s="397">
        <f>+IF(B19='REAJUST FISCAL'!$I$11,G.OCAS!$F$4,F18)</f>
        <v>0</v>
      </c>
      <c r="E19" s="398">
        <f t="shared" si="0"/>
        <v>0</v>
      </c>
      <c r="F19" s="399">
        <f t="shared" si="1"/>
        <v>0</v>
      </c>
      <c r="G19" s="400" t="s">
        <v>744</v>
      </c>
    </row>
    <row r="20" spans="2:9" ht="18" customHeight="1">
      <c r="B20" s="395">
        <v>1989</v>
      </c>
      <c r="C20" s="396">
        <v>0.27989999999999998</v>
      </c>
      <c r="D20" s="397">
        <f>+IF(B20='REAJUST FISCAL'!$I$11,G.OCAS!$F$4,F19)</f>
        <v>0</v>
      </c>
      <c r="E20" s="398">
        <f t="shared" si="0"/>
        <v>0</v>
      </c>
      <c r="F20" s="399">
        <f t="shared" si="1"/>
        <v>0</v>
      </c>
      <c r="G20" s="400" t="s">
        <v>745</v>
      </c>
    </row>
    <row r="21" spans="2:9" ht="18" customHeight="1">
      <c r="B21" s="395">
        <v>1990</v>
      </c>
      <c r="C21" s="396">
        <v>0.26640000000000003</v>
      </c>
      <c r="D21" s="397">
        <f>+IF(B21='REAJUST FISCAL'!$I$11,G.OCAS!$F$4,F20)</f>
        <v>0</v>
      </c>
      <c r="E21" s="398">
        <f t="shared" si="0"/>
        <v>0</v>
      </c>
      <c r="F21" s="399">
        <f t="shared" si="1"/>
        <v>0</v>
      </c>
      <c r="G21" s="400" t="s">
        <v>746</v>
      </c>
    </row>
    <row r="22" spans="2:9" ht="18" customHeight="1">
      <c r="B22" s="395">
        <v>1991</v>
      </c>
      <c r="C22" s="396">
        <v>0.3004</v>
      </c>
      <c r="D22" s="397">
        <f>+IF(B22='REAJUST FISCAL'!$I$11,G.OCAS!$F$4,F21)</f>
        <v>0</v>
      </c>
      <c r="E22" s="398">
        <f t="shared" si="0"/>
        <v>0</v>
      </c>
      <c r="F22" s="399">
        <f t="shared" si="1"/>
        <v>0</v>
      </c>
      <c r="G22" s="400" t="s">
        <v>747</v>
      </c>
    </row>
    <row r="23" spans="2:9" ht="18" customHeight="1">
      <c r="B23" s="395">
        <v>1992</v>
      </c>
      <c r="C23" s="396">
        <v>0.29809999999999998</v>
      </c>
      <c r="D23" s="397">
        <f>+IF(B23='REAJUST FISCAL'!$I$11,G.OCAS!$F$4,F22)</f>
        <v>0</v>
      </c>
      <c r="E23" s="398">
        <f t="shared" si="0"/>
        <v>0</v>
      </c>
      <c r="F23" s="399">
        <f t="shared" si="1"/>
        <v>0</v>
      </c>
      <c r="G23" s="400" t="s">
        <v>748</v>
      </c>
    </row>
    <row r="24" spans="2:9" ht="18" customHeight="1">
      <c r="B24" s="395">
        <v>1993</v>
      </c>
      <c r="C24" s="396">
        <v>0.26200000000000001</v>
      </c>
      <c r="D24" s="397">
        <f>+IF(B24='REAJUST FISCAL'!$I$11,G.OCAS!$F$4,F23)</f>
        <v>0</v>
      </c>
      <c r="E24" s="398">
        <f t="shared" si="0"/>
        <v>0</v>
      </c>
      <c r="F24" s="399">
        <f t="shared" si="1"/>
        <v>0</v>
      </c>
      <c r="G24" s="400" t="s">
        <v>749</v>
      </c>
    </row>
    <row r="25" spans="2:9" ht="18" customHeight="1">
      <c r="B25" s="395">
        <v>1994</v>
      </c>
      <c r="C25" s="396">
        <v>0.2208</v>
      </c>
      <c r="D25" s="397">
        <f>+IF(B25='REAJUST FISCAL'!$I$11,G.OCAS!$F$4,F24)</f>
        <v>0</v>
      </c>
      <c r="E25" s="398">
        <f t="shared" si="0"/>
        <v>0</v>
      </c>
      <c r="F25" s="399">
        <f t="shared" si="1"/>
        <v>0</v>
      </c>
      <c r="G25" s="400" t="s">
        <v>750</v>
      </c>
    </row>
    <row r="26" spans="2:9" ht="18" customHeight="1">
      <c r="B26" s="395">
        <v>1995</v>
      </c>
      <c r="C26" s="396">
        <v>0.22309999999999999</v>
      </c>
      <c r="D26" s="397">
        <f>+IF(B26='REAJUST FISCAL'!$I$11,G.OCAS!$F$4,F25)</f>
        <v>0</v>
      </c>
      <c r="E26" s="398">
        <f t="shared" si="0"/>
        <v>0</v>
      </c>
      <c r="F26" s="399">
        <f t="shared" si="1"/>
        <v>0</v>
      </c>
      <c r="G26" s="400" t="s">
        <v>751</v>
      </c>
    </row>
    <row r="27" spans="2:9" ht="18" customHeight="1">
      <c r="B27" s="395">
        <v>1996</v>
      </c>
      <c r="C27" s="396">
        <v>0.18</v>
      </c>
      <c r="D27" s="397">
        <f>+IF(B27='REAJUST FISCAL'!$I$11,G.OCAS!$F$4,F26)</f>
        <v>0</v>
      </c>
      <c r="E27" s="398">
        <f t="shared" si="0"/>
        <v>0</v>
      </c>
      <c r="F27" s="399">
        <f t="shared" si="1"/>
        <v>0</v>
      </c>
      <c r="G27" s="400" t="s">
        <v>752</v>
      </c>
    </row>
    <row r="28" spans="2:9" ht="18" customHeight="1">
      <c r="B28" s="395">
        <v>1997</v>
      </c>
      <c r="C28" s="396">
        <v>0.16</v>
      </c>
      <c r="D28" s="397">
        <f>+IF(B28='REAJUST FISCAL'!$I$11,G.OCAS!$F$4,F27)</f>
        <v>0</v>
      </c>
      <c r="E28" s="398">
        <f t="shared" si="0"/>
        <v>0</v>
      </c>
      <c r="F28" s="399">
        <f t="shared" si="1"/>
        <v>0</v>
      </c>
      <c r="G28" s="400" t="s">
        <v>753</v>
      </c>
    </row>
    <row r="29" spans="2:9" ht="18" customHeight="1">
      <c r="B29" s="395">
        <v>1998</v>
      </c>
      <c r="C29" s="396">
        <v>0.16</v>
      </c>
      <c r="D29" s="397">
        <f>+IF(B29='REAJUST FISCAL'!$I$11,G.OCAS!$F$4,F28)</f>
        <v>0</v>
      </c>
      <c r="E29" s="398">
        <f t="shared" si="0"/>
        <v>0</v>
      </c>
      <c r="F29" s="399">
        <f t="shared" si="1"/>
        <v>0</v>
      </c>
      <c r="G29" s="400" t="s">
        <v>754</v>
      </c>
    </row>
    <row r="30" spans="2:9" ht="18" customHeight="1">
      <c r="B30" s="395">
        <v>1999</v>
      </c>
      <c r="C30" s="396">
        <v>0.17069999999999999</v>
      </c>
      <c r="D30" s="397">
        <f>+IF(B30='REAJUST FISCAL'!$I$11,G.OCAS!$F$4,F29)</f>
        <v>0</v>
      </c>
      <c r="E30" s="398">
        <f t="shared" si="0"/>
        <v>0</v>
      </c>
      <c r="F30" s="399">
        <f t="shared" si="1"/>
        <v>0</v>
      </c>
      <c r="G30" s="400" t="s">
        <v>755</v>
      </c>
    </row>
    <row r="31" spans="2:9" ht="18" customHeight="1">
      <c r="B31" s="395">
        <v>2000</v>
      </c>
      <c r="C31" s="396">
        <v>9.3600000000000003E-2</v>
      </c>
      <c r="D31" s="397">
        <f>+IF(B31='REAJUST FISCAL'!$I$11,G.OCAS!$F$4,F30)</f>
        <v>0</v>
      </c>
      <c r="E31" s="398">
        <f t="shared" si="0"/>
        <v>0</v>
      </c>
      <c r="F31" s="399">
        <f t="shared" si="1"/>
        <v>0</v>
      </c>
      <c r="G31" s="400" t="s">
        <v>756</v>
      </c>
    </row>
    <row r="32" spans="2:9" ht="18" customHeight="1">
      <c r="B32" s="395">
        <v>2001</v>
      </c>
      <c r="C32" s="396">
        <v>8.9599999999999999E-2</v>
      </c>
      <c r="D32" s="397">
        <f>+IF(B32='REAJUST FISCAL'!$I$11,G.OCAS!$F$4,F31)</f>
        <v>0</v>
      </c>
      <c r="E32" s="398">
        <f t="shared" si="0"/>
        <v>0</v>
      </c>
      <c r="F32" s="399">
        <f t="shared" si="1"/>
        <v>0</v>
      </c>
      <c r="G32" s="400" t="s">
        <v>757</v>
      </c>
      <c r="I32" s="406">
        <f t="shared" ref="I32:I38" si="2">+D32*C32</f>
        <v>0</v>
      </c>
    </row>
    <row r="33" spans="2:9" ht="18" customHeight="1">
      <c r="B33" s="395">
        <v>2002</v>
      </c>
      <c r="C33" s="396">
        <v>0.06</v>
      </c>
      <c r="D33" s="397">
        <f>+IF(B33='REAJUST FISCAL'!$I$11,G.OCAS!$F$4,F32)</f>
        <v>0</v>
      </c>
      <c r="E33" s="398">
        <f t="shared" si="0"/>
        <v>0</v>
      </c>
      <c r="F33" s="399">
        <f t="shared" si="1"/>
        <v>0</v>
      </c>
      <c r="G33" s="400" t="s">
        <v>758</v>
      </c>
      <c r="I33" s="406">
        <f t="shared" si="2"/>
        <v>0</v>
      </c>
    </row>
    <row r="34" spans="2:9" ht="18" customHeight="1">
      <c r="B34" s="395">
        <v>2003</v>
      </c>
      <c r="C34" s="396">
        <v>0.06</v>
      </c>
      <c r="D34" s="397">
        <f>+IF(B34='REAJUST FISCAL'!$I$11,G.OCAS!$F$4,F33)</f>
        <v>0</v>
      </c>
      <c r="E34" s="398">
        <f t="shared" si="0"/>
        <v>0</v>
      </c>
      <c r="F34" s="399">
        <f t="shared" si="1"/>
        <v>0</v>
      </c>
      <c r="G34" s="400" t="s">
        <v>759</v>
      </c>
      <c r="I34" s="406">
        <f t="shared" si="2"/>
        <v>0</v>
      </c>
    </row>
    <row r="35" spans="2:9" ht="18" customHeight="1">
      <c r="B35" s="395">
        <v>2004</v>
      </c>
      <c r="C35" s="396">
        <v>6.9500000000000006E-2</v>
      </c>
      <c r="D35" s="397">
        <f>+IF(B35='REAJUST FISCAL'!$I$11,G.OCAS!$F$4,F34)</f>
        <v>0</v>
      </c>
      <c r="E35" s="398">
        <f t="shared" si="0"/>
        <v>0</v>
      </c>
      <c r="F35" s="399">
        <f t="shared" si="1"/>
        <v>0</v>
      </c>
      <c r="G35" s="400" t="s">
        <v>760</v>
      </c>
      <c r="I35" s="406">
        <f t="shared" si="2"/>
        <v>0</v>
      </c>
    </row>
    <row r="36" spans="2:9" ht="18" customHeight="1">
      <c r="B36" s="395">
        <v>2005</v>
      </c>
      <c r="C36" s="396">
        <v>6.0999999999999999E-2</v>
      </c>
      <c r="D36" s="397">
        <f>+IF(B36='REAJUST FISCAL'!$I$11,G.OCAS!$F$4,F35)</f>
        <v>0</v>
      </c>
      <c r="E36" s="398">
        <f t="shared" si="0"/>
        <v>0</v>
      </c>
      <c r="F36" s="399">
        <f t="shared" si="1"/>
        <v>0</v>
      </c>
      <c r="G36" s="400" t="s">
        <v>761</v>
      </c>
      <c r="I36" s="406">
        <f t="shared" si="2"/>
        <v>0</v>
      </c>
    </row>
    <row r="37" spans="2:9" ht="18" customHeight="1">
      <c r="B37" s="395">
        <v>2006</v>
      </c>
      <c r="C37" s="396">
        <v>4.87E-2</v>
      </c>
      <c r="D37" s="397">
        <f>+IF(B37='REAJUST FISCAL'!$I$11,G.OCAS!$F$4,F36)</f>
        <v>0</v>
      </c>
      <c r="E37" s="398">
        <f t="shared" ref="E37:E56" si="3">+IF(B37=$I$11,C37*$M$11*D37,IF(B37=$I$12,C37*$M$12*D37,C37*D37))</f>
        <v>0</v>
      </c>
      <c r="F37" s="399">
        <f t="shared" si="1"/>
        <v>0</v>
      </c>
      <c r="G37" s="400" t="s">
        <v>762</v>
      </c>
      <c r="I37" s="406">
        <f t="shared" si="2"/>
        <v>0</v>
      </c>
    </row>
    <row r="38" spans="2:9" ht="18" customHeight="1">
      <c r="B38" s="395">
        <v>2007</v>
      </c>
      <c r="C38" s="396">
        <v>5.1499999999999997E-2</v>
      </c>
      <c r="D38" s="397">
        <f>+IF(B38='REAJUST FISCAL'!$I$11,G.OCAS!$F$4,F37)</f>
        <v>0</v>
      </c>
      <c r="E38" s="398">
        <f t="shared" si="3"/>
        <v>0</v>
      </c>
      <c r="F38" s="399">
        <f t="shared" ref="F38:F56" si="4">+D38+E38</f>
        <v>0</v>
      </c>
      <c r="G38" s="400" t="s">
        <v>763</v>
      </c>
      <c r="I38" s="406">
        <f t="shared" si="2"/>
        <v>0</v>
      </c>
    </row>
    <row r="39" spans="2:9" ht="18" customHeight="1">
      <c r="B39" s="395">
        <v>2008</v>
      </c>
      <c r="C39" s="396">
        <v>7.7499999999999999E-2</v>
      </c>
      <c r="D39" s="397">
        <f>+IF(B39='REAJUST FISCAL'!$I$11,G.OCAS!$F$4,F38)</f>
        <v>0</v>
      </c>
      <c r="E39" s="398">
        <f t="shared" si="3"/>
        <v>0</v>
      </c>
      <c r="F39" s="399">
        <f t="shared" si="4"/>
        <v>0</v>
      </c>
      <c r="G39" s="400" t="s">
        <v>764</v>
      </c>
    </row>
    <row r="40" spans="2:9" ht="18" customHeight="1">
      <c r="B40" s="395">
        <v>2009</v>
      </c>
      <c r="C40" s="396">
        <v>3.3300000000000003E-2</v>
      </c>
      <c r="D40" s="397">
        <f>+IF(B40='REAJUST FISCAL'!$I$11,G.OCAS!$F$4,F39)</f>
        <v>0</v>
      </c>
      <c r="E40" s="398">
        <f t="shared" si="3"/>
        <v>0</v>
      </c>
      <c r="F40" s="399">
        <f t="shared" si="4"/>
        <v>0</v>
      </c>
      <c r="G40" s="400" t="s">
        <v>765</v>
      </c>
      <c r="I40" s="406">
        <f t="shared" ref="I40:I54" si="5">+D40*C40</f>
        <v>0</v>
      </c>
    </row>
    <row r="41" spans="2:9" ht="18" customHeight="1">
      <c r="B41" s="395">
        <v>2010</v>
      </c>
      <c r="C41" s="396">
        <v>2.35E-2</v>
      </c>
      <c r="D41" s="397">
        <f>+IF(B41='REAJUST FISCAL'!$I$11,G.OCAS!$F$4,F40)</f>
        <v>0</v>
      </c>
      <c r="E41" s="398">
        <f t="shared" si="3"/>
        <v>0</v>
      </c>
      <c r="F41" s="399">
        <f t="shared" si="4"/>
        <v>0</v>
      </c>
      <c r="G41" s="400" t="s">
        <v>766</v>
      </c>
      <c r="I41" s="406">
        <f t="shared" si="5"/>
        <v>0</v>
      </c>
    </row>
    <row r="42" spans="2:9" ht="18" customHeight="1">
      <c r="B42" s="395">
        <v>2011</v>
      </c>
      <c r="C42" s="396">
        <v>3.6499999999999998E-2</v>
      </c>
      <c r="D42" s="397">
        <f>+IF(B42='REAJUST FISCAL'!$I$11,G.OCAS!$F$4,F41)</f>
        <v>0</v>
      </c>
      <c r="E42" s="398">
        <f t="shared" si="3"/>
        <v>0</v>
      </c>
      <c r="F42" s="399">
        <f t="shared" si="4"/>
        <v>0</v>
      </c>
      <c r="G42" s="400" t="s">
        <v>767</v>
      </c>
      <c r="I42" s="406">
        <f t="shared" si="5"/>
        <v>0</v>
      </c>
    </row>
    <row r="43" spans="2:9" ht="18" customHeight="1">
      <c r="B43" s="395">
        <v>2012</v>
      </c>
      <c r="C43" s="396">
        <v>3.04E-2</v>
      </c>
      <c r="D43" s="397">
        <f>+IF(B43='REAJUST FISCAL'!$I$11,G.OCAS!$F$4,F42)</f>
        <v>0</v>
      </c>
      <c r="E43" s="398">
        <f t="shared" si="3"/>
        <v>0</v>
      </c>
      <c r="F43" s="399">
        <f t="shared" si="4"/>
        <v>0</v>
      </c>
      <c r="G43" s="400" t="s">
        <v>768</v>
      </c>
      <c r="I43" s="406">
        <f t="shared" si="5"/>
        <v>0</v>
      </c>
    </row>
    <row r="44" spans="2:9" ht="18" customHeight="1">
      <c r="B44" s="395">
        <v>2013</v>
      </c>
      <c r="C44" s="396">
        <v>2.4E-2</v>
      </c>
      <c r="D44" s="397">
        <f>+IF(B44='REAJUST FISCAL'!$I$11,G.OCAS!$F$4,F43)</f>
        <v>0</v>
      </c>
      <c r="E44" s="398">
        <f t="shared" si="3"/>
        <v>0</v>
      </c>
      <c r="F44" s="399">
        <f t="shared" si="4"/>
        <v>0</v>
      </c>
      <c r="G44" s="400" t="s">
        <v>769</v>
      </c>
      <c r="I44" s="406">
        <f t="shared" si="5"/>
        <v>0</v>
      </c>
    </row>
    <row r="45" spans="2:9" ht="18" customHeight="1">
      <c r="B45" s="395">
        <v>2014</v>
      </c>
      <c r="C45" s="396">
        <v>2.8899999999999999E-2</v>
      </c>
      <c r="D45" s="397">
        <f>+IF(B45='REAJUST FISCAL'!$I$11,G.OCAS!$F$4,F44)</f>
        <v>305000000</v>
      </c>
      <c r="E45" s="398">
        <f t="shared" si="3"/>
        <v>1101812.5</v>
      </c>
      <c r="F45" s="399">
        <f t="shared" si="4"/>
        <v>306101812.5</v>
      </c>
      <c r="G45" s="400" t="s">
        <v>770</v>
      </c>
      <c r="I45" s="406">
        <f t="shared" si="5"/>
        <v>8814500</v>
      </c>
    </row>
    <row r="46" spans="2:9" ht="18" customHeight="1">
      <c r="B46" s="395">
        <v>2015</v>
      </c>
      <c r="C46" s="396">
        <v>5.21E-2</v>
      </c>
      <c r="D46" s="397">
        <f>+IF(B46='REAJUST FISCAL'!$I$11,G.OCAS!$F$4,F45)</f>
        <v>306101812.5</v>
      </c>
      <c r="E46" s="398">
        <f t="shared" si="3"/>
        <v>15947904.43125</v>
      </c>
      <c r="F46" s="399">
        <f t="shared" si="4"/>
        <v>322049716.93124998</v>
      </c>
      <c r="G46" s="400" t="s">
        <v>771</v>
      </c>
      <c r="I46" s="406">
        <f t="shared" si="5"/>
        <v>15947904.43125</v>
      </c>
    </row>
    <row r="47" spans="2:9" ht="18" customHeight="1">
      <c r="B47" s="395">
        <v>2016</v>
      </c>
      <c r="C47" s="396">
        <v>7.0800000000000002E-2</v>
      </c>
      <c r="D47" s="397">
        <f>+IF(B47='REAJUST FISCAL'!$I$11,G.OCAS!$F$4,F46)</f>
        <v>322049716.93124998</v>
      </c>
      <c r="E47" s="398">
        <f t="shared" si="3"/>
        <v>22801119.958732501</v>
      </c>
      <c r="F47" s="399">
        <f t="shared" si="4"/>
        <v>344850836.88998246</v>
      </c>
      <c r="G47" s="400" t="s">
        <v>772</v>
      </c>
      <c r="I47" s="406">
        <f t="shared" si="5"/>
        <v>22801119.958732501</v>
      </c>
    </row>
    <row r="48" spans="2:9" ht="18" customHeight="1">
      <c r="B48" s="395">
        <v>2017</v>
      </c>
      <c r="C48" s="396">
        <v>4.07E-2</v>
      </c>
      <c r="D48" s="397">
        <f>+IF(B48='REAJUST FISCAL'!$I$11,G.OCAS!$F$4,F47)</f>
        <v>344850836.88998246</v>
      </c>
      <c r="E48" s="398">
        <f t="shared" si="3"/>
        <v>14035429.061422287</v>
      </c>
      <c r="F48" s="399">
        <f t="shared" si="4"/>
        <v>358886265.95140475</v>
      </c>
      <c r="G48" s="400" t="s">
        <v>773</v>
      </c>
      <c r="I48" s="406">
        <f t="shared" si="5"/>
        <v>14035429.061422287</v>
      </c>
    </row>
    <row r="49" spans="2:9" ht="18" customHeight="1">
      <c r="B49" s="395">
        <v>2018</v>
      </c>
      <c r="C49" s="396">
        <v>4.07E-2</v>
      </c>
      <c r="D49" s="397">
        <f>+IF(B49='REAJUST FISCAL'!$I$11,G.OCAS!$F$4,F48)</f>
        <v>358886265.95140475</v>
      </c>
      <c r="E49" s="398">
        <f t="shared" si="3"/>
        <v>14606671.024222173</v>
      </c>
      <c r="F49" s="399">
        <f t="shared" si="4"/>
        <v>373492936.97562695</v>
      </c>
      <c r="G49" s="400" t="s">
        <v>774</v>
      </c>
      <c r="I49" s="406">
        <f t="shared" si="5"/>
        <v>14606671.024222173</v>
      </c>
    </row>
    <row r="50" spans="2:9" ht="18" customHeight="1">
      <c r="B50" s="395">
        <v>2019</v>
      </c>
      <c r="C50" s="401">
        <v>3.3599999999999998E-2</v>
      </c>
      <c r="D50" s="397">
        <f>+IF(B50='REAJUST FISCAL'!$I$11,G.OCAS!$F$4,F49)</f>
        <v>373492936.97562695</v>
      </c>
      <c r="E50" s="398">
        <f t="shared" si="3"/>
        <v>12549362.682381064</v>
      </c>
      <c r="F50" s="399">
        <f t="shared" si="4"/>
        <v>386042299.65800798</v>
      </c>
      <c r="G50" s="400" t="s">
        <v>775</v>
      </c>
      <c r="I50" s="406">
        <f t="shared" si="5"/>
        <v>12549362.682381064</v>
      </c>
    </row>
    <row r="51" spans="2:9" ht="18" customHeight="1">
      <c r="B51" s="395">
        <v>2020</v>
      </c>
      <c r="C51" s="401">
        <v>3.9E-2</v>
      </c>
      <c r="D51" s="397">
        <f>+IF(B51='REAJUST FISCAL'!$I$11,G.OCAS!$F$4,F50)</f>
        <v>386042299.65800798</v>
      </c>
      <c r="E51" s="398">
        <f t="shared" si="3"/>
        <v>15055649.686662311</v>
      </c>
      <c r="F51" s="399">
        <f t="shared" si="4"/>
        <v>401097949.3446703</v>
      </c>
      <c r="G51" s="400" t="s">
        <v>776</v>
      </c>
      <c r="I51" s="406">
        <f t="shared" si="5"/>
        <v>15055649.686662311</v>
      </c>
    </row>
    <row r="52" spans="2:9" ht="18" customHeight="1">
      <c r="B52" s="395">
        <v>2021</v>
      </c>
      <c r="C52" s="401">
        <v>1.9699999999999999E-2</v>
      </c>
      <c r="D52" s="397">
        <f>+IF(B52='REAJUST FISCAL'!$I$11,G.OCAS!$F$4,F51)</f>
        <v>401097949.3446703</v>
      </c>
      <c r="E52" s="398">
        <f t="shared" si="3"/>
        <v>7901629.6020900039</v>
      </c>
      <c r="F52" s="399">
        <f t="shared" si="4"/>
        <v>408999578.9467603</v>
      </c>
      <c r="G52" s="400" t="s">
        <v>777</v>
      </c>
      <c r="I52" s="406">
        <f t="shared" si="5"/>
        <v>7901629.6020900039</v>
      </c>
    </row>
    <row r="53" spans="2:9" ht="18" customHeight="1">
      <c r="B53" s="395">
        <v>2022</v>
      </c>
      <c r="C53" s="401">
        <v>4.6699999999999998E-2</v>
      </c>
      <c r="D53" s="397">
        <f>+IF(B53='REAJUST FISCAL'!$I$11,G.OCAS!$F$4,F52)</f>
        <v>408999578.9467603</v>
      </c>
      <c r="E53" s="398">
        <f t="shared" si="3"/>
        <v>19100280.336813707</v>
      </c>
      <c r="F53" s="399">
        <f t="shared" si="4"/>
        <v>428099859.28357399</v>
      </c>
      <c r="G53" s="402" t="s">
        <v>778</v>
      </c>
      <c r="I53" s="406">
        <f t="shared" si="5"/>
        <v>19100280.336813707</v>
      </c>
    </row>
    <row r="54" spans="2:9" ht="18" customHeight="1">
      <c r="B54" s="403">
        <v>2023</v>
      </c>
      <c r="C54" s="401">
        <v>0.124</v>
      </c>
      <c r="D54" s="397">
        <f>+IF(B54='REAJUST FISCAL'!$I$11,G.OCAS!$F$4,F53)</f>
        <v>428099859.28357399</v>
      </c>
      <c r="E54" s="398">
        <f t="shared" si="3"/>
        <v>53084382.551163174</v>
      </c>
      <c r="F54" s="399">
        <f t="shared" si="4"/>
        <v>481184241.83473718</v>
      </c>
      <c r="G54" s="402" t="s">
        <v>779</v>
      </c>
      <c r="I54" s="406">
        <f t="shared" si="5"/>
        <v>53084382.551163174</v>
      </c>
    </row>
    <row r="55" spans="2:9" ht="18" customHeight="1">
      <c r="B55" s="403">
        <v>2024</v>
      </c>
      <c r="C55" s="401">
        <v>0.10970000000000001</v>
      </c>
      <c r="D55" s="397">
        <f>+IF(B55='REAJUST FISCAL'!$I$11,G.OCAS!$F$4,F54)</f>
        <v>481184241.83473718</v>
      </c>
      <c r="E55" s="398">
        <f t="shared" si="3"/>
        <v>52785911.329270668</v>
      </c>
      <c r="F55" s="399">
        <f t="shared" si="4"/>
        <v>533970153.16400784</v>
      </c>
      <c r="G55" s="402" t="s">
        <v>780</v>
      </c>
      <c r="I55" s="406">
        <f>+D55*C55</f>
        <v>52785911.329270668</v>
      </c>
    </row>
    <row r="56" spans="2:9" ht="18" customHeight="1">
      <c r="B56" s="429">
        <v>2025</v>
      </c>
      <c r="C56" s="401">
        <v>5.8099999999999999E-2</v>
      </c>
      <c r="D56" s="397">
        <f>+IF(B56='REAJUST FISCAL'!$I$11,G.OCAS!$F$4,F55)</f>
        <v>533970153.16400784</v>
      </c>
      <c r="E56" s="398">
        <f t="shared" si="3"/>
        <v>47052559.946557097</v>
      </c>
      <c r="F56" s="399">
        <f t="shared" si="4"/>
        <v>581022713.11056495</v>
      </c>
      <c r="G56" s="402" t="s">
        <v>842</v>
      </c>
      <c r="I56" s="406"/>
    </row>
    <row r="57" spans="2:9" ht="18" customHeight="1">
      <c r="B57" s="858" t="s">
        <v>781</v>
      </c>
      <c r="C57" s="859"/>
      <c r="D57" s="859"/>
      <c r="E57" s="860"/>
      <c r="F57" s="404">
        <f>F56</f>
        <v>581022713.11056495</v>
      </c>
      <c r="G57" s="403"/>
    </row>
    <row r="60" spans="2:9" s="411" customFormat="1" ht="6" customHeight="1"/>
    <row r="64" spans="2:9">
      <c r="B64" s="393" t="s">
        <v>724</v>
      </c>
      <c r="C64" s="393" t="s">
        <v>725</v>
      </c>
      <c r="D64" s="394" t="s">
        <v>726</v>
      </c>
      <c r="E64" s="393" t="s">
        <v>727</v>
      </c>
      <c r="F64" s="393" t="s">
        <v>728</v>
      </c>
      <c r="G64" s="393" t="s">
        <v>729</v>
      </c>
    </row>
    <row r="65" spans="2:14" ht="17">
      <c r="B65" s="395">
        <v>1974</v>
      </c>
      <c r="C65" s="396">
        <v>0.08</v>
      </c>
      <c r="D65" s="397">
        <f>+IF(B65='REAJUST FISCAL'!$I$69,G.OCAS!$F$4,0)</f>
        <v>0</v>
      </c>
      <c r="E65" s="398">
        <f t="shared" ref="E65:E110" si="6">+IF(B65=$I$69,C65*$M$69*D65,IF(B65=$I$70,C65*$M$70*D65,C65*D65))</f>
        <v>0</v>
      </c>
      <c r="F65" s="399">
        <f>+'REAJUST FISCAL'!D65+E65</f>
        <v>0</v>
      </c>
      <c r="G65" s="400" t="s">
        <v>730</v>
      </c>
    </row>
    <row r="66" spans="2:14" ht="17">
      <c r="B66" s="395">
        <v>1975</v>
      </c>
      <c r="C66" s="396">
        <v>0.08</v>
      </c>
      <c r="D66" s="397">
        <f>+IF('REAJUST FISCAL'!B66='REAJUST FISCAL'!$I$69,G.OCAS!$F$18,'REAJUST FISCAL'!F65)</f>
        <v>0</v>
      </c>
      <c r="E66" s="398">
        <f t="shared" si="6"/>
        <v>0</v>
      </c>
      <c r="F66" s="399">
        <f t="shared" ref="F66:F101" si="7">+D66+E66</f>
        <v>0</v>
      </c>
      <c r="G66" s="400" t="s">
        <v>731</v>
      </c>
    </row>
    <row r="67" spans="2:14" ht="17">
      <c r="B67" s="395">
        <v>1976</v>
      </c>
      <c r="C67" s="396">
        <v>0.08</v>
      </c>
      <c r="D67" s="397">
        <f>+IF('REAJUST FISCAL'!B67='REAJUST FISCAL'!$I$69,G.OCAS!$F$18,'REAJUST FISCAL'!F66)</f>
        <v>0</v>
      </c>
      <c r="E67" s="398">
        <f t="shared" si="6"/>
        <v>0</v>
      </c>
      <c r="F67" s="399">
        <f t="shared" si="7"/>
        <v>0</v>
      </c>
      <c r="G67" s="400" t="s">
        <v>732</v>
      </c>
    </row>
    <row r="68" spans="2:14" ht="17">
      <c r="B68" s="395">
        <v>1977</v>
      </c>
      <c r="C68" s="396">
        <v>0.14000000000000001</v>
      </c>
      <c r="D68" s="397">
        <f>+IF('REAJUST FISCAL'!B68='REAJUST FISCAL'!$I$69,G.OCAS!$F$18,'REAJUST FISCAL'!F67)</f>
        <v>0</v>
      </c>
      <c r="E68" s="398">
        <f t="shared" si="6"/>
        <v>0</v>
      </c>
      <c r="F68" s="399">
        <f t="shared" si="7"/>
        <v>0</v>
      </c>
      <c r="G68" s="400" t="s">
        <v>733</v>
      </c>
    </row>
    <row r="69" spans="2:14" ht="19">
      <c r="B69" s="395">
        <v>1978</v>
      </c>
      <c r="C69" s="396">
        <v>9.5000000000000001E-2</v>
      </c>
      <c r="D69" s="397">
        <f>+IF('REAJUST FISCAL'!B69='REAJUST FISCAL'!$I$69,G.OCAS!$F$18,'REAJUST FISCAL'!F68)</f>
        <v>0</v>
      </c>
      <c r="E69" s="398">
        <f t="shared" si="6"/>
        <v>0</v>
      </c>
      <c r="F69" s="399">
        <f t="shared" si="7"/>
        <v>0</v>
      </c>
      <c r="G69" s="400" t="s">
        <v>734</v>
      </c>
      <c r="I69" s="412">
        <f>+YEAR(G.OCAS!F19)</f>
        <v>2021</v>
      </c>
      <c r="J69" s="412" t="str">
        <f>+CONCATENATE("31/12/",+I69)</f>
        <v>31/12/2021</v>
      </c>
      <c r="K69" s="412">
        <v>360</v>
      </c>
      <c r="L69" s="413">
        <f>+_xlfn.DAYS(J69,G.OCAS!F19)</f>
        <v>169</v>
      </c>
      <c r="M69" s="414">
        <f>+L69/K69</f>
        <v>0.46944444444444444</v>
      </c>
      <c r="N69" s="415">
        <f>+M69*'REAJUST FISCAL'!C110</f>
        <v>1.5773333333333334E-2</v>
      </c>
    </row>
    <row r="70" spans="2:14" ht="18">
      <c r="B70" s="395">
        <v>1979</v>
      </c>
      <c r="C70" s="396">
        <v>0.24399999999999999</v>
      </c>
      <c r="D70" s="397">
        <f>+IF('REAJUST FISCAL'!B70='REAJUST FISCAL'!$I$69,G.OCAS!$F$18,'REAJUST FISCAL'!F69)</f>
        <v>0</v>
      </c>
      <c r="E70" s="398">
        <f t="shared" si="6"/>
        <v>0</v>
      </c>
      <c r="F70" s="399">
        <f t="shared" si="7"/>
        <v>0</v>
      </c>
      <c r="G70" s="400" t="s">
        <v>735</v>
      </c>
      <c r="I70" s="412">
        <f>+YEAR(G.OCAS!F20)</f>
        <v>2025</v>
      </c>
      <c r="J70" s="416">
        <v>45292</v>
      </c>
      <c r="K70" s="412">
        <v>360</v>
      </c>
      <c r="L70" s="413">
        <f>+_xlfn.DAYS(G.OCAS!F20,J70)</f>
        <v>564</v>
      </c>
      <c r="M70" s="414">
        <f>+L70/K70</f>
        <v>1.5666666666666667</v>
      </c>
    </row>
    <row r="71" spans="2:14" ht="17">
      <c r="B71" s="395">
        <v>1980</v>
      </c>
      <c r="C71" s="396">
        <v>0.2472</v>
      </c>
      <c r="D71" s="397">
        <f>+IF('REAJUST FISCAL'!B71='REAJUST FISCAL'!$I$69,G.OCAS!$F$18,'REAJUST FISCAL'!F70)</f>
        <v>0</v>
      </c>
      <c r="E71" s="398">
        <f t="shared" si="6"/>
        <v>0</v>
      </c>
      <c r="F71" s="399">
        <f t="shared" si="7"/>
        <v>0</v>
      </c>
      <c r="G71" s="400" t="s">
        <v>736</v>
      </c>
    </row>
    <row r="72" spans="2:14" ht="17">
      <c r="B72" s="395">
        <v>1981</v>
      </c>
      <c r="C72" s="396">
        <v>0.27750000000000002</v>
      </c>
      <c r="D72" s="397">
        <f>+IF('REAJUST FISCAL'!B72='REAJUST FISCAL'!$I$69,G.OCAS!$F$18,'REAJUST FISCAL'!F71)</f>
        <v>0</v>
      </c>
      <c r="E72" s="398">
        <f t="shared" si="6"/>
        <v>0</v>
      </c>
      <c r="F72" s="399">
        <f t="shared" si="7"/>
        <v>0</v>
      </c>
      <c r="G72" s="400" t="s">
        <v>737</v>
      </c>
    </row>
    <row r="73" spans="2:14" ht="17">
      <c r="B73" s="395">
        <v>1982</v>
      </c>
      <c r="C73" s="396">
        <v>0.23469999999999999</v>
      </c>
      <c r="D73" s="397">
        <f>+IF('REAJUST FISCAL'!B73='REAJUST FISCAL'!$I$69,G.OCAS!$F$18,'REAJUST FISCAL'!F72)</f>
        <v>0</v>
      </c>
      <c r="E73" s="398">
        <f t="shared" si="6"/>
        <v>0</v>
      </c>
      <c r="F73" s="399">
        <f t="shared" si="7"/>
        <v>0</v>
      </c>
      <c r="G73" s="400" t="s">
        <v>738</v>
      </c>
    </row>
    <row r="74" spans="2:14" ht="17">
      <c r="B74" s="395">
        <v>1983</v>
      </c>
      <c r="C74" s="396">
        <v>0.19420000000000001</v>
      </c>
      <c r="D74" s="397">
        <f>+IF('REAJUST FISCAL'!B74='REAJUST FISCAL'!$I$69,G.OCAS!$F$18,'REAJUST FISCAL'!F73)</f>
        <v>0</v>
      </c>
      <c r="E74" s="398">
        <f t="shared" si="6"/>
        <v>0</v>
      </c>
      <c r="F74" s="399">
        <f t="shared" si="7"/>
        <v>0</v>
      </c>
      <c r="G74" s="400" t="s">
        <v>739</v>
      </c>
    </row>
    <row r="75" spans="2:14" ht="17">
      <c r="B75" s="395">
        <v>1984</v>
      </c>
      <c r="C75" s="396">
        <v>0.1517</v>
      </c>
      <c r="D75" s="397">
        <f>+IF('REAJUST FISCAL'!B75='REAJUST FISCAL'!$I$69,G.OCAS!$F$18,'REAJUST FISCAL'!F74)</f>
        <v>0</v>
      </c>
      <c r="E75" s="398">
        <f t="shared" si="6"/>
        <v>0</v>
      </c>
      <c r="F75" s="399">
        <f t="shared" si="7"/>
        <v>0</v>
      </c>
      <c r="G75" s="400" t="s">
        <v>740</v>
      </c>
    </row>
    <row r="76" spans="2:14" ht="17">
      <c r="B76" s="395">
        <v>1985</v>
      </c>
      <c r="C76" s="396">
        <v>0.24510000000000001</v>
      </c>
      <c r="D76" s="397">
        <f>+IF('REAJUST FISCAL'!B76='REAJUST FISCAL'!$I$69,G.OCAS!$F$18,'REAJUST FISCAL'!F75)</f>
        <v>0</v>
      </c>
      <c r="E76" s="398">
        <f t="shared" si="6"/>
        <v>0</v>
      </c>
      <c r="F76" s="399">
        <f t="shared" si="7"/>
        <v>0</v>
      </c>
      <c r="G76" s="400" t="s">
        <v>741</v>
      </c>
    </row>
    <row r="77" spans="2:14" ht="17">
      <c r="B77" s="395">
        <v>1986</v>
      </c>
      <c r="C77" s="396">
        <v>0.16300000000000001</v>
      </c>
      <c r="D77" s="397">
        <f>+IF('REAJUST FISCAL'!B77='REAJUST FISCAL'!$I$69,G.OCAS!$F$18,'REAJUST FISCAL'!F76)</f>
        <v>0</v>
      </c>
      <c r="E77" s="398">
        <f t="shared" si="6"/>
        <v>0</v>
      </c>
      <c r="F77" s="399">
        <f t="shared" si="7"/>
        <v>0</v>
      </c>
      <c r="G77" s="400" t="s">
        <v>742</v>
      </c>
      <c r="I77" s="406"/>
    </row>
    <row r="78" spans="2:14" ht="17">
      <c r="B78" s="395">
        <v>1987</v>
      </c>
      <c r="C78" s="396">
        <v>0.16789999999999999</v>
      </c>
      <c r="D78" s="397">
        <f>+IF('REAJUST FISCAL'!B78='REAJUST FISCAL'!$I$69,G.OCAS!$F$18,'REAJUST FISCAL'!F77)</f>
        <v>0</v>
      </c>
      <c r="E78" s="398">
        <f t="shared" si="6"/>
        <v>0</v>
      </c>
      <c r="F78" s="399">
        <f t="shared" si="7"/>
        <v>0</v>
      </c>
      <c r="G78" s="400" t="s">
        <v>743</v>
      </c>
    </row>
    <row r="79" spans="2:14" ht="17">
      <c r="B79" s="395">
        <v>1988</v>
      </c>
      <c r="C79" s="396">
        <v>0.23649999999999999</v>
      </c>
      <c r="D79" s="397">
        <f>+IF('REAJUST FISCAL'!B79='REAJUST FISCAL'!$I$69,G.OCAS!$F$18,'REAJUST FISCAL'!F78)</f>
        <v>0</v>
      </c>
      <c r="E79" s="398">
        <f t="shared" si="6"/>
        <v>0</v>
      </c>
      <c r="F79" s="399">
        <f t="shared" si="7"/>
        <v>0</v>
      </c>
      <c r="G79" s="400" t="s">
        <v>744</v>
      </c>
    </row>
    <row r="80" spans="2:14" ht="17">
      <c r="B80" s="395">
        <v>1989</v>
      </c>
      <c r="C80" s="396">
        <v>0.27989999999999998</v>
      </c>
      <c r="D80" s="397">
        <f>+IF('REAJUST FISCAL'!B80='REAJUST FISCAL'!$I$69,G.OCAS!$F$18,'REAJUST FISCAL'!F79)</f>
        <v>0</v>
      </c>
      <c r="E80" s="398">
        <f t="shared" si="6"/>
        <v>0</v>
      </c>
      <c r="F80" s="399">
        <f t="shared" si="7"/>
        <v>0</v>
      </c>
      <c r="G80" s="400" t="s">
        <v>745</v>
      </c>
    </row>
    <row r="81" spans="2:9" ht="17">
      <c r="B81" s="395">
        <v>1990</v>
      </c>
      <c r="C81" s="396">
        <v>0.26640000000000003</v>
      </c>
      <c r="D81" s="397">
        <f>+IF('REAJUST FISCAL'!B81='REAJUST FISCAL'!$I$69,G.OCAS!$F$18,'REAJUST FISCAL'!F80)</f>
        <v>0</v>
      </c>
      <c r="E81" s="398">
        <f t="shared" si="6"/>
        <v>0</v>
      </c>
      <c r="F81" s="399">
        <f t="shared" si="7"/>
        <v>0</v>
      </c>
      <c r="G81" s="400" t="s">
        <v>746</v>
      </c>
    </row>
    <row r="82" spans="2:9" ht="17">
      <c r="B82" s="395">
        <v>1991</v>
      </c>
      <c r="C82" s="396">
        <v>0.3004</v>
      </c>
      <c r="D82" s="397">
        <f>+IF('REAJUST FISCAL'!B82='REAJUST FISCAL'!$I$69,G.OCAS!$F$18,'REAJUST FISCAL'!F81)</f>
        <v>0</v>
      </c>
      <c r="E82" s="398">
        <f t="shared" si="6"/>
        <v>0</v>
      </c>
      <c r="F82" s="399">
        <f t="shared" si="7"/>
        <v>0</v>
      </c>
      <c r="G82" s="400" t="s">
        <v>747</v>
      </c>
    </row>
    <row r="83" spans="2:9" ht="17">
      <c r="B83" s="395">
        <v>1992</v>
      </c>
      <c r="C83" s="396">
        <v>0.29809999999999998</v>
      </c>
      <c r="D83" s="397">
        <f>+IF('REAJUST FISCAL'!B83='REAJUST FISCAL'!$I$69,G.OCAS!$F$18,'REAJUST FISCAL'!F82)</f>
        <v>0</v>
      </c>
      <c r="E83" s="398">
        <f t="shared" si="6"/>
        <v>0</v>
      </c>
      <c r="F83" s="399">
        <f t="shared" si="7"/>
        <v>0</v>
      </c>
      <c r="G83" s="400" t="s">
        <v>748</v>
      </c>
    </row>
    <row r="84" spans="2:9" ht="17">
      <c r="B84" s="395">
        <v>1993</v>
      </c>
      <c r="C84" s="396">
        <v>0.26200000000000001</v>
      </c>
      <c r="D84" s="397">
        <f>+IF('REAJUST FISCAL'!B84='REAJUST FISCAL'!$I$69,G.OCAS!$F$18,'REAJUST FISCAL'!F83)</f>
        <v>0</v>
      </c>
      <c r="E84" s="398">
        <f t="shared" si="6"/>
        <v>0</v>
      </c>
      <c r="F84" s="399">
        <f t="shared" si="7"/>
        <v>0</v>
      </c>
      <c r="G84" s="400" t="s">
        <v>749</v>
      </c>
    </row>
    <row r="85" spans="2:9" ht="17">
      <c r="B85" s="395">
        <v>1994</v>
      </c>
      <c r="C85" s="396">
        <v>0.2208</v>
      </c>
      <c r="D85" s="397">
        <f>+IF('REAJUST FISCAL'!B85='REAJUST FISCAL'!$I$69,G.OCAS!$F$18,'REAJUST FISCAL'!F84)</f>
        <v>0</v>
      </c>
      <c r="E85" s="398">
        <f t="shared" si="6"/>
        <v>0</v>
      </c>
      <c r="F85" s="399">
        <f t="shared" si="7"/>
        <v>0</v>
      </c>
      <c r="G85" s="400" t="s">
        <v>750</v>
      </c>
    </row>
    <row r="86" spans="2:9" ht="17">
      <c r="B86" s="395">
        <v>1995</v>
      </c>
      <c r="C86" s="396">
        <v>0.22309999999999999</v>
      </c>
      <c r="D86" s="397">
        <f>+IF('REAJUST FISCAL'!B86='REAJUST FISCAL'!$I$69,G.OCAS!$F$18,'REAJUST FISCAL'!F85)</f>
        <v>0</v>
      </c>
      <c r="E86" s="398">
        <f t="shared" si="6"/>
        <v>0</v>
      </c>
      <c r="F86" s="399">
        <f t="shared" si="7"/>
        <v>0</v>
      </c>
      <c r="G86" s="400" t="s">
        <v>751</v>
      </c>
    </row>
    <row r="87" spans="2:9" ht="17">
      <c r="B87" s="395">
        <v>1996</v>
      </c>
      <c r="C87" s="396">
        <v>0.18</v>
      </c>
      <c r="D87" s="397">
        <f>+IF('REAJUST FISCAL'!B87='REAJUST FISCAL'!$I$69,G.OCAS!$F$18,'REAJUST FISCAL'!F86)</f>
        <v>0</v>
      </c>
      <c r="E87" s="398">
        <f t="shared" si="6"/>
        <v>0</v>
      </c>
      <c r="F87" s="399">
        <f t="shared" si="7"/>
        <v>0</v>
      </c>
      <c r="G87" s="400" t="s">
        <v>752</v>
      </c>
    </row>
    <row r="88" spans="2:9" ht="17">
      <c r="B88" s="395">
        <v>1997</v>
      </c>
      <c r="C88" s="396">
        <v>0.16</v>
      </c>
      <c r="D88" s="397">
        <f>+IF('REAJUST FISCAL'!B88='REAJUST FISCAL'!$I$69,G.OCAS!$F$18,'REAJUST FISCAL'!F87)</f>
        <v>0</v>
      </c>
      <c r="E88" s="398">
        <f t="shared" si="6"/>
        <v>0</v>
      </c>
      <c r="F88" s="399">
        <f t="shared" si="7"/>
        <v>0</v>
      </c>
      <c r="G88" s="400" t="s">
        <v>753</v>
      </c>
    </row>
    <row r="89" spans="2:9" ht="17">
      <c r="B89" s="395">
        <v>1998</v>
      </c>
      <c r="C89" s="396">
        <v>0.16</v>
      </c>
      <c r="D89" s="397">
        <f>+IF('REAJUST FISCAL'!B89='REAJUST FISCAL'!$I$69,G.OCAS!$F$18,'REAJUST FISCAL'!F88)</f>
        <v>0</v>
      </c>
      <c r="E89" s="398">
        <f t="shared" si="6"/>
        <v>0</v>
      </c>
      <c r="F89" s="399">
        <f t="shared" si="7"/>
        <v>0</v>
      </c>
      <c r="G89" s="400" t="s">
        <v>754</v>
      </c>
    </row>
    <row r="90" spans="2:9" ht="17">
      <c r="B90" s="395">
        <v>1999</v>
      </c>
      <c r="C90" s="396">
        <v>0.17069999999999999</v>
      </c>
      <c r="D90" s="397">
        <f>+IF('REAJUST FISCAL'!B90='REAJUST FISCAL'!$I$69,G.OCAS!$F$18,'REAJUST FISCAL'!F89)</f>
        <v>0</v>
      </c>
      <c r="E90" s="398">
        <f t="shared" si="6"/>
        <v>0</v>
      </c>
      <c r="F90" s="399">
        <f t="shared" si="7"/>
        <v>0</v>
      </c>
      <c r="G90" s="400" t="s">
        <v>755</v>
      </c>
    </row>
    <row r="91" spans="2:9" ht="17">
      <c r="B91" s="395">
        <v>2000</v>
      </c>
      <c r="C91" s="396">
        <v>9.3600000000000003E-2</v>
      </c>
      <c r="D91" s="397">
        <f>+IF('REAJUST FISCAL'!B91='REAJUST FISCAL'!$I$69,G.OCAS!$F$18,'REAJUST FISCAL'!F90)</f>
        <v>0</v>
      </c>
      <c r="E91" s="398">
        <f t="shared" si="6"/>
        <v>0</v>
      </c>
      <c r="F91" s="399">
        <f t="shared" si="7"/>
        <v>0</v>
      </c>
      <c r="G91" s="400" t="s">
        <v>756</v>
      </c>
    </row>
    <row r="92" spans="2:9" ht="17">
      <c r="B92" s="395">
        <v>2001</v>
      </c>
      <c r="C92" s="396">
        <v>8.9599999999999999E-2</v>
      </c>
      <c r="D92" s="397">
        <f>+IF('REAJUST FISCAL'!B92='REAJUST FISCAL'!$I$69,G.OCAS!$F$18,'REAJUST FISCAL'!F91)</f>
        <v>0</v>
      </c>
      <c r="E92" s="398">
        <f t="shared" si="6"/>
        <v>0</v>
      </c>
      <c r="F92" s="399">
        <f t="shared" si="7"/>
        <v>0</v>
      </c>
      <c r="G92" s="400" t="s">
        <v>757</v>
      </c>
      <c r="I92" s="406">
        <f t="shared" ref="I92:I95" si="8">+D92*C92</f>
        <v>0</v>
      </c>
    </row>
    <row r="93" spans="2:9" ht="17">
      <c r="B93" s="395">
        <v>2002</v>
      </c>
      <c r="C93" s="396">
        <v>0.06</v>
      </c>
      <c r="D93" s="397">
        <f>+IF('REAJUST FISCAL'!B93='REAJUST FISCAL'!$I$69,G.OCAS!$F$18,'REAJUST FISCAL'!F92)</f>
        <v>0</v>
      </c>
      <c r="E93" s="398">
        <f t="shared" si="6"/>
        <v>0</v>
      </c>
      <c r="F93" s="399">
        <f t="shared" si="7"/>
        <v>0</v>
      </c>
      <c r="G93" s="400" t="s">
        <v>758</v>
      </c>
      <c r="I93" s="406">
        <f t="shared" si="8"/>
        <v>0</v>
      </c>
    </row>
    <row r="94" spans="2:9" ht="17">
      <c r="B94" s="395">
        <v>2003</v>
      </c>
      <c r="C94" s="396">
        <v>0.06</v>
      </c>
      <c r="D94" s="397">
        <f>+IF('REAJUST FISCAL'!B94='REAJUST FISCAL'!$I$69,G.OCAS!$F$18,'REAJUST FISCAL'!F93)</f>
        <v>0</v>
      </c>
      <c r="E94" s="398">
        <f t="shared" si="6"/>
        <v>0</v>
      </c>
      <c r="F94" s="399">
        <f t="shared" si="7"/>
        <v>0</v>
      </c>
      <c r="G94" s="400" t="s">
        <v>759</v>
      </c>
      <c r="I94" s="406">
        <f t="shared" si="8"/>
        <v>0</v>
      </c>
    </row>
    <row r="95" spans="2:9" ht="17">
      <c r="B95" s="395">
        <v>2004</v>
      </c>
      <c r="C95" s="396">
        <v>6.9500000000000006E-2</v>
      </c>
      <c r="D95" s="397">
        <f>+IF('REAJUST FISCAL'!B95='REAJUST FISCAL'!$I$69,G.OCAS!$F$18,'REAJUST FISCAL'!F94)</f>
        <v>0</v>
      </c>
      <c r="E95" s="398">
        <f t="shared" si="6"/>
        <v>0</v>
      </c>
      <c r="F95" s="399">
        <f t="shared" si="7"/>
        <v>0</v>
      </c>
      <c r="G95" s="400" t="s">
        <v>760</v>
      </c>
      <c r="I95" s="406">
        <f t="shared" si="8"/>
        <v>0</v>
      </c>
    </row>
    <row r="96" spans="2:9" ht="17">
      <c r="B96" s="395">
        <v>2005</v>
      </c>
      <c r="C96" s="396">
        <v>6.0999999999999999E-2</v>
      </c>
      <c r="D96" s="397">
        <f>+IF('REAJUST FISCAL'!B96='REAJUST FISCAL'!$I$69,G.OCAS!$F$18,'REAJUST FISCAL'!F95)</f>
        <v>0</v>
      </c>
      <c r="E96" s="398">
        <f t="shared" si="6"/>
        <v>0</v>
      </c>
      <c r="F96" s="399">
        <f t="shared" si="7"/>
        <v>0</v>
      </c>
      <c r="G96" s="400" t="s">
        <v>761</v>
      </c>
      <c r="I96" s="406">
        <f>+D96*C96</f>
        <v>0</v>
      </c>
    </row>
    <row r="97" spans="2:9" ht="17">
      <c r="B97" s="395">
        <v>2006</v>
      </c>
      <c r="C97" s="396">
        <v>4.87E-2</v>
      </c>
      <c r="D97" s="397">
        <f>+IF('REAJUST FISCAL'!B97='REAJUST FISCAL'!$I$69,G.OCAS!$F$18,'REAJUST FISCAL'!F96)</f>
        <v>0</v>
      </c>
      <c r="E97" s="398">
        <f t="shared" si="6"/>
        <v>0</v>
      </c>
      <c r="F97" s="399">
        <f t="shared" si="7"/>
        <v>0</v>
      </c>
      <c r="G97" s="400" t="s">
        <v>762</v>
      </c>
      <c r="I97" s="406">
        <f>+D97*C97</f>
        <v>0</v>
      </c>
    </row>
    <row r="98" spans="2:9" ht="17">
      <c r="B98" s="395">
        <v>2007</v>
      </c>
      <c r="C98" s="396">
        <v>5.1499999999999997E-2</v>
      </c>
      <c r="D98" s="397">
        <f>+IF('REAJUST FISCAL'!B98='REAJUST FISCAL'!$I$69,G.OCAS!$F$18,'REAJUST FISCAL'!F97)</f>
        <v>0</v>
      </c>
      <c r="E98" s="398">
        <f t="shared" si="6"/>
        <v>0</v>
      </c>
      <c r="F98" s="399">
        <f t="shared" si="7"/>
        <v>0</v>
      </c>
      <c r="G98" s="400" t="s">
        <v>763</v>
      </c>
      <c r="I98" s="406">
        <f>+D98*C98</f>
        <v>0</v>
      </c>
    </row>
    <row r="99" spans="2:9" ht="17">
      <c r="B99" s="395">
        <v>2008</v>
      </c>
      <c r="C99" s="396">
        <v>7.7499999999999999E-2</v>
      </c>
      <c r="D99" s="397">
        <f>+IF('REAJUST FISCAL'!B99='REAJUST FISCAL'!$I$69,G.OCAS!$F$18,'REAJUST FISCAL'!F98)</f>
        <v>0</v>
      </c>
      <c r="E99" s="398">
        <f t="shared" si="6"/>
        <v>0</v>
      </c>
      <c r="F99" s="399">
        <f t="shared" si="7"/>
        <v>0</v>
      </c>
      <c r="G99" s="400" t="s">
        <v>764</v>
      </c>
    </row>
    <row r="100" spans="2:9" ht="17">
      <c r="B100" s="395">
        <v>2009</v>
      </c>
      <c r="C100" s="396">
        <v>3.3300000000000003E-2</v>
      </c>
      <c r="D100" s="397">
        <f>+IF('REAJUST FISCAL'!B100='REAJUST FISCAL'!$I$69,G.OCAS!$F$18,'REAJUST FISCAL'!F99)</f>
        <v>0</v>
      </c>
      <c r="E100" s="398">
        <f t="shared" si="6"/>
        <v>0</v>
      </c>
      <c r="F100" s="399">
        <f t="shared" si="7"/>
        <v>0</v>
      </c>
      <c r="G100" s="400" t="s">
        <v>765</v>
      </c>
      <c r="I100" s="406">
        <f>+D100*C100</f>
        <v>0</v>
      </c>
    </row>
    <row r="101" spans="2:9" ht="17">
      <c r="B101" s="395">
        <v>2010</v>
      </c>
      <c r="C101" s="396">
        <v>2.35E-2</v>
      </c>
      <c r="D101" s="397">
        <f>+IF('REAJUST FISCAL'!B101='REAJUST FISCAL'!$I$69,G.OCAS!$F$18,'REAJUST FISCAL'!F100)</f>
        <v>0</v>
      </c>
      <c r="E101" s="398">
        <f t="shared" si="6"/>
        <v>0</v>
      </c>
      <c r="F101" s="399">
        <f t="shared" si="7"/>
        <v>0</v>
      </c>
      <c r="G101" s="400" t="s">
        <v>766</v>
      </c>
      <c r="I101" s="406">
        <f>+D101*C101</f>
        <v>0</v>
      </c>
    </row>
    <row r="102" spans="2:9" ht="17">
      <c r="B102" s="395">
        <v>2011</v>
      </c>
      <c r="C102" s="396">
        <v>3.6499999999999998E-2</v>
      </c>
      <c r="D102" s="397">
        <f>+IF('REAJUST FISCAL'!B102='REAJUST FISCAL'!$I$69,G.OCAS!$F$18,'REAJUST FISCAL'!F101)</f>
        <v>0</v>
      </c>
      <c r="E102" s="398">
        <f t="shared" si="6"/>
        <v>0</v>
      </c>
      <c r="F102" s="399">
        <f>+'REAJUST FISCAL'!D102+E102</f>
        <v>0</v>
      </c>
      <c r="G102" s="400" t="s">
        <v>767</v>
      </c>
      <c r="I102" s="406">
        <f>+'REAJUST FISCAL'!D102*C102</f>
        <v>0</v>
      </c>
    </row>
    <row r="103" spans="2:9" ht="17">
      <c r="B103" s="395">
        <v>2012</v>
      </c>
      <c r="C103" s="396">
        <v>3.04E-2</v>
      </c>
      <c r="D103" s="397">
        <f>+IF('REAJUST FISCAL'!B103='REAJUST FISCAL'!$I$69,G.OCAS!$F$18,'REAJUST FISCAL'!F102)</f>
        <v>0</v>
      </c>
      <c r="E103" s="398">
        <f t="shared" si="6"/>
        <v>0</v>
      </c>
      <c r="F103" s="399">
        <f t="shared" ref="F103:F110" si="9">+D103+E103</f>
        <v>0</v>
      </c>
      <c r="G103" s="400" t="s">
        <v>768</v>
      </c>
      <c r="I103" s="406">
        <f t="shared" ref="I103:I110" si="10">+D103*C103</f>
        <v>0</v>
      </c>
    </row>
    <row r="104" spans="2:9" ht="17">
      <c r="B104" s="395">
        <v>2013</v>
      </c>
      <c r="C104" s="396">
        <v>2.4E-2</v>
      </c>
      <c r="D104" s="397">
        <f>+IF('REAJUST FISCAL'!B104='REAJUST FISCAL'!$I$69,G.OCAS!$F$18,'REAJUST FISCAL'!F103)</f>
        <v>0</v>
      </c>
      <c r="E104" s="398">
        <f t="shared" si="6"/>
        <v>0</v>
      </c>
      <c r="F104" s="399">
        <f t="shared" si="9"/>
        <v>0</v>
      </c>
      <c r="G104" s="400" t="s">
        <v>769</v>
      </c>
      <c r="I104" s="406">
        <f t="shared" si="10"/>
        <v>0</v>
      </c>
    </row>
    <row r="105" spans="2:9" ht="17">
      <c r="B105" s="395">
        <v>2014</v>
      </c>
      <c r="C105" s="396">
        <v>2.8899999999999999E-2</v>
      </c>
      <c r="D105" s="397">
        <f>+IF('REAJUST FISCAL'!B105='REAJUST FISCAL'!$I$69,G.OCAS!$F$18,'REAJUST FISCAL'!F104)</f>
        <v>0</v>
      </c>
      <c r="E105" s="398">
        <f t="shared" si="6"/>
        <v>0</v>
      </c>
      <c r="F105" s="399">
        <f t="shared" si="9"/>
        <v>0</v>
      </c>
      <c r="G105" s="400" t="s">
        <v>770</v>
      </c>
      <c r="I105" s="406">
        <f t="shared" si="10"/>
        <v>0</v>
      </c>
    </row>
    <row r="106" spans="2:9" ht="17">
      <c r="B106" s="395">
        <v>2015</v>
      </c>
      <c r="C106" s="396">
        <v>5.21E-2</v>
      </c>
      <c r="D106" s="397">
        <f>+IF('REAJUST FISCAL'!B106='REAJUST FISCAL'!$I$69,G.OCAS!$F$18,'REAJUST FISCAL'!F105)</f>
        <v>0</v>
      </c>
      <c r="E106" s="398">
        <f t="shared" si="6"/>
        <v>0</v>
      </c>
      <c r="F106" s="399">
        <f t="shared" si="9"/>
        <v>0</v>
      </c>
      <c r="G106" s="400" t="s">
        <v>771</v>
      </c>
      <c r="I106" s="406">
        <f t="shared" si="10"/>
        <v>0</v>
      </c>
    </row>
    <row r="107" spans="2:9" ht="17">
      <c r="B107" s="395">
        <v>2016</v>
      </c>
      <c r="C107" s="396">
        <v>7.0800000000000002E-2</v>
      </c>
      <c r="D107" s="397">
        <f>+IF('REAJUST FISCAL'!B107='REAJUST FISCAL'!$I$69,G.OCAS!$F$18,'REAJUST FISCAL'!F106)</f>
        <v>0</v>
      </c>
      <c r="E107" s="398">
        <f t="shared" si="6"/>
        <v>0</v>
      </c>
      <c r="F107" s="399">
        <f t="shared" si="9"/>
        <v>0</v>
      </c>
      <c r="G107" s="400" t="s">
        <v>772</v>
      </c>
      <c r="I107" s="406">
        <f t="shared" si="10"/>
        <v>0</v>
      </c>
    </row>
    <row r="108" spans="2:9" ht="17">
      <c r="B108" s="395">
        <v>2017</v>
      </c>
      <c r="C108" s="396">
        <v>4.07E-2</v>
      </c>
      <c r="D108" s="397">
        <f>+IF('REAJUST FISCAL'!B108='REAJUST FISCAL'!$I$69,G.OCAS!$F$18,'REAJUST FISCAL'!F107)</f>
        <v>0</v>
      </c>
      <c r="E108" s="398">
        <f t="shared" si="6"/>
        <v>0</v>
      </c>
      <c r="F108" s="399">
        <f t="shared" si="9"/>
        <v>0</v>
      </c>
      <c r="G108" s="400" t="s">
        <v>773</v>
      </c>
      <c r="I108" s="406">
        <f t="shared" si="10"/>
        <v>0</v>
      </c>
    </row>
    <row r="109" spans="2:9" ht="17">
      <c r="B109" s="395">
        <v>2018</v>
      </c>
      <c r="C109" s="396">
        <v>4.07E-2</v>
      </c>
      <c r="D109" s="397">
        <f>+IF('REAJUST FISCAL'!B109='REAJUST FISCAL'!$I$69,G.OCAS!$F$18,'REAJUST FISCAL'!F108)</f>
        <v>0</v>
      </c>
      <c r="E109" s="398">
        <f t="shared" si="6"/>
        <v>0</v>
      </c>
      <c r="F109" s="399">
        <f t="shared" si="9"/>
        <v>0</v>
      </c>
      <c r="G109" s="400" t="s">
        <v>774</v>
      </c>
      <c r="I109" s="406">
        <f t="shared" si="10"/>
        <v>0</v>
      </c>
    </row>
    <row r="110" spans="2:9" ht="17">
      <c r="B110" s="395">
        <v>2019</v>
      </c>
      <c r="C110" s="401">
        <v>3.3599999999999998E-2</v>
      </c>
      <c r="D110" s="397">
        <f>+IF('REAJUST FISCAL'!B110='REAJUST FISCAL'!$I$69,G.OCAS!$F$18,'REAJUST FISCAL'!F109)</f>
        <v>0</v>
      </c>
      <c r="E110" s="398">
        <f t="shared" si="6"/>
        <v>0</v>
      </c>
      <c r="F110" s="399">
        <f t="shared" si="9"/>
        <v>0</v>
      </c>
      <c r="G110" s="400" t="s">
        <v>775</v>
      </c>
      <c r="I110" s="406">
        <f t="shared" si="10"/>
        <v>0</v>
      </c>
    </row>
    <row r="111" spans="2:9" ht="17">
      <c r="B111" s="395">
        <v>2020</v>
      </c>
      <c r="C111" s="401">
        <v>3.9E-2</v>
      </c>
      <c r="D111" s="397">
        <f>+IF('REAJUST FISCAL'!B111='REAJUST FISCAL'!$I$69,G.OCAS!$F$18,'REAJUST FISCAL'!F110)</f>
        <v>0</v>
      </c>
      <c r="E111" s="398">
        <f>+IF(B111=$I$69,C111*$M$69*'REAJUST FISCAL'!D111,IF(B111=$I$70,C111*$M$70*'REAJUST FISCAL'!D111,C111*'REAJUST FISCAL'!D111))</f>
        <v>0</v>
      </c>
      <c r="F111" s="399">
        <f>+'REAJUST FISCAL'!D111+E111</f>
        <v>0</v>
      </c>
      <c r="G111" s="400" t="s">
        <v>776</v>
      </c>
      <c r="I111" s="406">
        <f>+'REAJUST FISCAL'!D111*C111</f>
        <v>0</v>
      </c>
    </row>
    <row r="112" spans="2:9" ht="17">
      <c r="B112" s="395">
        <v>2021</v>
      </c>
      <c r="C112" s="401">
        <v>1.9699999999999999E-2</v>
      </c>
      <c r="D112" s="397">
        <f>+IF('REAJUST FISCAL'!B112='REAJUST FISCAL'!$I$69,G.OCAS!$F$18,'REAJUST FISCAL'!F111)</f>
        <v>150000000</v>
      </c>
      <c r="E112" s="398">
        <f>+IF(B112=$I$69,C112*$M$69*D112,IF(B112=$I$70,C112*$M$70*D112,C112*D112))</f>
        <v>1387208.3333333333</v>
      </c>
      <c r="F112" s="399">
        <f>+D112+E112</f>
        <v>151387208.33333334</v>
      </c>
      <c r="G112" s="400" t="s">
        <v>777</v>
      </c>
      <c r="I112" s="406">
        <f>+D112*C112</f>
        <v>2955000</v>
      </c>
    </row>
    <row r="113" spans="2:9" ht="17">
      <c r="B113" s="395">
        <v>2022</v>
      </c>
      <c r="C113" s="401">
        <v>4.6699999999999998E-2</v>
      </c>
      <c r="D113" s="397">
        <f>+IF('REAJUST FISCAL'!B113='REAJUST FISCAL'!$I$69,G.OCAS!$F$18,'REAJUST FISCAL'!F112)</f>
        <v>151387208.33333334</v>
      </c>
      <c r="E113" s="398">
        <f>+IF(B113=$I$69,C113*$M$69*D113,IF(B113=$I$70,C113*$M$70*D113,C113*D113))</f>
        <v>7069782.6291666673</v>
      </c>
      <c r="F113" s="399">
        <f>+D113+E113</f>
        <v>158456990.96250001</v>
      </c>
      <c r="G113" s="402" t="s">
        <v>778</v>
      </c>
      <c r="I113" s="406">
        <f>+D113*C113</f>
        <v>7069782.6291666673</v>
      </c>
    </row>
    <row r="114" spans="2:9" ht="17">
      <c r="B114" s="403">
        <v>2023</v>
      </c>
      <c r="C114" s="401">
        <v>0.124</v>
      </c>
      <c r="D114" s="397">
        <f>+IF('REAJUST FISCAL'!B114='REAJUST FISCAL'!$I$69,G.OCAS!$F$18,'REAJUST FISCAL'!F113)</f>
        <v>158456990.96250001</v>
      </c>
      <c r="E114" s="398">
        <f>+IF(B114=$I$69,C114*$M$69*D114,IF(B114=$I$70,C114*$M$70*D114,C114*D114))</f>
        <v>19648666.879349999</v>
      </c>
      <c r="F114" s="399">
        <f>+D114+E114</f>
        <v>178105657.84185001</v>
      </c>
      <c r="G114" s="402" t="s">
        <v>779</v>
      </c>
      <c r="I114" s="406">
        <f>+D114*C114</f>
        <v>19648666.879349999</v>
      </c>
    </row>
    <row r="115" spans="2:9" ht="17">
      <c r="B115" s="403">
        <v>2024</v>
      </c>
      <c r="C115" s="401">
        <v>0.10970000000000001</v>
      </c>
      <c r="D115" s="397">
        <f>+IF('REAJUST FISCAL'!B115='REAJUST FISCAL'!$I$69,G.OCAS!$F$18,'REAJUST FISCAL'!F114)</f>
        <v>178105657.84185001</v>
      </c>
      <c r="E115" s="398">
        <f>+IF(B115=$I$69,C115*$M$69*D115,IF(B115=$I$70,C115*$M$70*D115,C115*D115))</f>
        <v>19538190.665250946</v>
      </c>
      <c r="F115" s="399">
        <f>+D115+E115</f>
        <v>197643848.50710097</v>
      </c>
      <c r="G115" s="402" t="s">
        <v>780</v>
      </c>
      <c r="I115" s="406">
        <f>+D115*C115</f>
        <v>19538190.665250946</v>
      </c>
    </row>
    <row r="116" spans="2:9" ht="17">
      <c r="B116" s="403">
        <v>2025</v>
      </c>
      <c r="C116" s="401">
        <v>5.8099999999999999E-2</v>
      </c>
      <c r="D116" s="397">
        <f>+IF('REAJUST FISCAL'!B116='REAJUST FISCAL'!$I$69,G.OCAS!$F$18,'REAJUST FISCAL'!F115)</f>
        <v>197643848.50710097</v>
      </c>
      <c r="E116" s="398">
        <f>+IF(B116=$I$69,C116*$M$69*D116,IF(B116=$I$70,C116*$M$70*D116,C116*D116))</f>
        <v>17990201.903944686</v>
      </c>
      <c r="F116" s="399">
        <f>+D116+E116</f>
        <v>215634050.41104567</v>
      </c>
      <c r="G116" s="402" t="s">
        <v>842</v>
      </c>
      <c r="I116" s="406"/>
    </row>
    <row r="117" spans="2:9">
      <c r="B117" s="858" t="s">
        <v>781</v>
      </c>
      <c r="C117" s="859"/>
      <c r="D117" s="859"/>
      <c r="E117" s="860"/>
      <c r="F117" s="404">
        <f>F116</f>
        <v>215634050.41104567</v>
      </c>
      <c r="G117" s="403"/>
    </row>
    <row r="121" spans="2:9" s="411" customFormat="1"/>
    <row r="126" spans="2:9">
      <c r="B126" s="393" t="s">
        <v>724</v>
      </c>
      <c r="C126" s="393" t="s">
        <v>725</v>
      </c>
      <c r="D126" s="394" t="s">
        <v>726</v>
      </c>
      <c r="E126" s="393" t="s">
        <v>727</v>
      </c>
      <c r="F126" s="393" t="s">
        <v>728</v>
      </c>
      <c r="G126" s="393" t="s">
        <v>729</v>
      </c>
    </row>
    <row r="127" spans="2:9" ht="17">
      <c r="B127" s="395">
        <v>1974</v>
      </c>
      <c r="C127" s="396">
        <v>0.08</v>
      </c>
      <c r="D127" s="397">
        <f>+IF('REAJUST FISCAL'!B127='REAJUST FISCAL'!$I$69,G.OCAS!$F$31,0)</f>
        <v>0</v>
      </c>
      <c r="E127" s="398">
        <f>+IF(B127=$I$139,C127*$M$139*'REAJUST FISCAL'!D127,IF(B127=$I$140,C127*$M$140*'REAJUST FISCAL'!D127,C127*'REAJUST FISCAL'!D127))</f>
        <v>0</v>
      </c>
      <c r="F127" s="399">
        <f>+'REAJUST FISCAL'!D127+E127</f>
        <v>0</v>
      </c>
      <c r="G127" s="400" t="s">
        <v>730</v>
      </c>
    </row>
    <row r="128" spans="2:9" ht="17">
      <c r="B128" s="395">
        <v>1975</v>
      </c>
      <c r="C128" s="396">
        <v>0.08</v>
      </c>
      <c r="D128" s="397">
        <f>+IF('REAJUST FISCAL'!B128='REAJUST FISCAL'!$I$139,G.OCAS!$F$32,'REAJUST FISCAL'!F127)</f>
        <v>0</v>
      </c>
      <c r="E128" s="398">
        <f>+IF(B128=$I$139,C128*$M$139*'REAJUST FISCAL'!D128,IF(B128=$I$140,C128*$M$140*'REAJUST FISCAL'!D128,C128*'REAJUST FISCAL'!D128))</f>
        <v>0</v>
      </c>
      <c r="F128" s="399">
        <f>+'REAJUST FISCAL'!D128+E128</f>
        <v>0</v>
      </c>
      <c r="G128" s="400" t="s">
        <v>731</v>
      </c>
    </row>
    <row r="129" spans="2:14" ht="17">
      <c r="B129" s="395">
        <v>1976</v>
      </c>
      <c r="C129" s="396">
        <v>0.08</v>
      </c>
      <c r="D129" s="397">
        <f>+IF('REAJUST FISCAL'!B129='REAJUST FISCAL'!$I$139,G.OCAS!$F$32,'REAJUST FISCAL'!F128)</f>
        <v>0</v>
      </c>
      <c r="E129" s="398">
        <f>+IF(B129=$I$139,C129*$M$139*'REAJUST FISCAL'!D129,IF(B129=$I$140,C129*$M$140*'REAJUST FISCAL'!D129,C129*'REAJUST FISCAL'!D129))</f>
        <v>0</v>
      </c>
      <c r="F129" s="399">
        <f t="shared" ref="F129:F163" si="11">+D129+E129</f>
        <v>0</v>
      </c>
      <c r="G129" s="400" t="s">
        <v>732</v>
      </c>
    </row>
    <row r="130" spans="2:14" ht="17">
      <c r="B130" s="395">
        <v>1977</v>
      </c>
      <c r="C130" s="396">
        <v>0.14000000000000001</v>
      </c>
      <c r="D130" s="397">
        <f>+IF('REAJUST FISCAL'!B130='REAJUST FISCAL'!$I$139,G.OCAS!$F$32,'REAJUST FISCAL'!F129)</f>
        <v>0</v>
      </c>
      <c r="E130" s="398">
        <f>+IF(B130=$I$139,C130*$M$139*'REAJUST FISCAL'!D130,IF(B130=$I$140,C130*$M$140*'REAJUST FISCAL'!D130,C130*'REAJUST FISCAL'!D130))</f>
        <v>0</v>
      </c>
      <c r="F130" s="399">
        <f t="shared" si="11"/>
        <v>0</v>
      </c>
      <c r="G130" s="400" t="s">
        <v>733</v>
      </c>
    </row>
    <row r="131" spans="2:14" ht="17">
      <c r="B131" s="395">
        <v>1978</v>
      </c>
      <c r="C131" s="396">
        <v>9.5000000000000001E-2</v>
      </c>
      <c r="D131" s="397">
        <f>+IF('REAJUST FISCAL'!B131='REAJUST FISCAL'!$I$139,G.OCAS!$F$32,'REAJUST FISCAL'!F130)</f>
        <v>0</v>
      </c>
      <c r="E131" s="398">
        <f>+IF(B131=$I$139,C131*$M$139*'REAJUST FISCAL'!D131,IF(B131=$I$140,C131*$M$140*'REAJUST FISCAL'!D131,C131*'REAJUST FISCAL'!D131))</f>
        <v>0</v>
      </c>
      <c r="F131" s="399">
        <f t="shared" si="11"/>
        <v>0</v>
      </c>
      <c r="G131" s="400" t="s">
        <v>734</v>
      </c>
    </row>
    <row r="132" spans="2:14" ht="17">
      <c r="B132" s="395">
        <v>1979</v>
      </c>
      <c r="C132" s="396">
        <v>0.24399999999999999</v>
      </c>
      <c r="D132" s="397">
        <f>+IF('REAJUST FISCAL'!B132='REAJUST FISCAL'!$I$139,G.OCAS!$F$32,'REAJUST FISCAL'!F131)</f>
        <v>0</v>
      </c>
      <c r="E132" s="398">
        <f>+IF(B132=$I$139,C132*$M$139*'REAJUST FISCAL'!D132,IF(B132=$I$140,C132*$M$140*'REAJUST FISCAL'!D132,C132*'REAJUST FISCAL'!D132))</f>
        <v>0</v>
      </c>
      <c r="F132" s="399">
        <f t="shared" si="11"/>
        <v>0</v>
      </c>
      <c r="G132" s="400" t="s">
        <v>735</v>
      </c>
    </row>
    <row r="133" spans="2:14" ht="17">
      <c r="B133" s="395">
        <v>1980</v>
      </c>
      <c r="C133" s="396">
        <v>0.2472</v>
      </c>
      <c r="D133" s="397">
        <f>+IF('REAJUST FISCAL'!B133='REAJUST FISCAL'!$I$139,G.OCAS!$F$32,'REAJUST FISCAL'!F132)</f>
        <v>0</v>
      </c>
      <c r="E133" s="398">
        <f>+IF(B133=$I$139,C133*$M$139*'REAJUST FISCAL'!D133,IF(B133=$I$140,C133*$M$140*'REAJUST FISCAL'!D133,C133*'REAJUST FISCAL'!D133))</f>
        <v>0</v>
      </c>
      <c r="F133" s="399">
        <f t="shared" si="11"/>
        <v>0</v>
      </c>
      <c r="G133" s="400" t="s">
        <v>736</v>
      </c>
    </row>
    <row r="134" spans="2:14" ht="17">
      <c r="B134" s="395">
        <v>1981</v>
      </c>
      <c r="C134" s="396">
        <v>0.27750000000000002</v>
      </c>
      <c r="D134" s="397">
        <f>+IF('REAJUST FISCAL'!B134='REAJUST FISCAL'!$I$139,G.OCAS!$F$32,'REAJUST FISCAL'!F133)</f>
        <v>0</v>
      </c>
      <c r="E134" s="398">
        <f>+IF(B134=$I$139,C134*$M$139*'REAJUST FISCAL'!D134,IF(B134=$I$140,C134*$M$140*'REAJUST FISCAL'!D134,C134*'REAJUST FISCAL'!D134))</f>
        <v>0</v>
      </c>
      <c r="F134" s="399">
        <f t="shared" si="11"/>
        <v>0</v>
      </c>
      <c r="G134" s="400" t="s">
        <v>737</v>
      </c>
    </row>
    <row r="135" spans="2:14" ht="17">
      <c r="B135" s="395">
        <v>1982</v>
      </c>
      <c r="C135" s="396">
        <v>0.23469999999999999</v>
      </c>
      <c r="D135" s="397">
        <f>+IF('REAJUST FISCAL'!B135='REAJUST FISCAL'!$I$139,G.OCAS!$F$32,'REAJUST FISCAL'!F134)</f>
        <v>0</v>
      </c>
      <c r="E135" s="398">
        <f>+IF(B135=$I$139,C135*$M$139*'REAJUST FISCAL'!D135,IF(B135=$I$140,C135*$M$140*'REAJUST FISCAL'!D135,C135*'REAJUST FISCAL'!D135))</f>
        <v>0</v>
      </c>
      <c r="F135" s="399">
        <f t="shared" si="11"/>
        <v>0</v>
      </c>
      <c r="G135" s="400" t="s">
        <v>738</v>
      </c>
    </row>
    <row r="136" spans="2:14" ht="17">
      <c r="B136" s="395">
        <v>1983</v>
      </c>
      <c r="C136" s="396">
        <v>0.19420000000000001</v>
      </c>
      <c r="D136" s="397">
        <f>+IF('REAJUST FISCAL'!B136='REAJUST FISCAL'!$I$139,G.OCAS!$F$32,'REAJUST FISCAL'!F135)</f>
        <v>0</v>
      </c>
      <c r="E136" s="398">
        <f>+IF(B136=$I$139,C136*$M$139*'REAJUST FISCAL'!D136,IF(B136=$I$140,C136*$M$140*'REAJUST FISCAL'!D136,C136*'REAJUST FISCAL'!D136))</f>
        <v>0</v>
      </c>
      <c r="F136" s="399">
        <f t="shared" si="11"/>
        <v>0</v>
      </c>
      <c r="G136" s="400" t="s">
        <v>739</v>
      </c>
    </row>
    <row r="137" spans="2:14" ht="17">
      <c r="B137" s="395">
        <v>1984</v>
      </c>
      <c r="C137" s="396">
        <v>0.1517</v>
      </c>
      <c r="D137" s="397">
        <f>+IF('REAJUST FISCAL'!B137='REAJUST FISCAL'!$I$139,G.OCAS!$F$32,'REAJUST FISCAL'!F136)</f>
        <v>0</v>
      </c>
      <c r="E137" s="398">
        <f>+IF(B137=$I$139,C137*$M$139*'REAJUST FISCAL'!D137,IF(B137=$I$140,C137*$M$140*'REAJUST FISCAL'!D137,C137*'REAJUST FISCAL'!D137))</f>
        <v>0</v>
      </c>
      <c r="F137" s="399">
        <f t="shared" si="11"/>
        <v>0</v>
      </c>
      <c r="G137" s="400" t="s">
        <v>740</v>
      </c>
      <c r="I137" s="406"/>
    </row>
    <row r="138" spans="2:14" ht="17">
      <c r="B138" s="395">
        <v>1985</v>
      </c>
      <c r="C138" s="396">
        <v>0.24510000000000001</v>
      </c>
      <c r="D138" s="397">
        <f>+IF('REAJUST FISCAL'!B138='REAJUST FISCAL'!$I$139,G.OCAS!$F$32,'REAJUST FISCAL'!F137)</f>
        <v>0</v>
      </c>
      <c r="E138" s="398">
        <f>+IF(B138=$I$139,C138*$M$139*'REAJUST FISCAL'!D138,IF(B138=$I$140,C138*$M$140*'REAJUST FISCAL'!D138,C138*'REAJUST FISCAL'!D138))</f>
        <v>0</v>
      </c>
      <c r="F138" s="399">
        <f t="shared" si="11"/>
        <v>0</v>
      </c>
      <c r="G138" s="400" t="s">
        <v>741</v>
      </c>
      <c r="I138" s="406"/>
    </row>
    <row r="139" spans="2:14" ht="19">
      <c r="B139" s="395">
        <v>1986</v>
      </c>
      <c r="C139" s="396">
        <v>0.16300000000000001</v>
      </c>
      <c r="D139" s="397">
        <f>+IF('REAJUST FISCAL'!B139='REAJUST FISCAL'!$I$139,G.OCAS!$F$32,'REAJUST FISCAL'!F138)</f>
        <v>0</v>
      </c>
      <c r="E139" s="398">
        <f>+IF(B139=$I$139,C139*$M$139*'REAJUST FISCAL'!D139,IF(B139=$I$140,C139*$M$140*'REAJUST FISCAL'!D139,C139*'REAJUST FISCAL'!D139))</f>
        <v>0</v>
      </c>
      <c r="F139" s="399">
        <f t="shared" si="11"/>
        <v>0</v>
      </c>
      <c r="G139" s="400" t="s">
        <v>742</v>
      </c>
      <c r="I139" s="412">
        <f>+YEAR(G.OCAS!F33)</f>
        <v>2022</v>
      </c>
      <c r="J139" s="412" t="str">
        <f>+CONCATENATE("31/12/",+I139)</f>
        <v>31/12/2022</v>
      </c>
      <c r="K139" s="412">
        <v>360</v>
      </c>
      <c r="L139" s="413">
        <f>+_xlfn.DAYS(J139,G.OCAS!F33)</f>
        <v>350</v>
      </c>
      <c r="M139" s="414">
        <f>+L139/K139</f>
        <v>0.97222222222222221</v>
      </c>
      <c r="N139" s="415">
        <f>+M139*'REAJUST FISCAL'!C172</f>
        <v>3.2666666666666663E-2</v>
      </c>
    </row>
    <row r="140" spans="2:14" ht="18">
      <c r="B140" s="395">
        <v>1987</v>
      </c>
      <c r="C140" s="396">
        <v>0.16789999999999999</v>
      </c>
      <c r="D140" s="397">
        <f>+IF('REAJUST FISCAL'!B140='REAJUST FISCAL'!$I$139,G.OCAS!$F$32,'REAJUST FISCAL'!F139)</f>
        <v>0</v>
      </c>
      <c r="E140" s="398">
        <f>+IF(B140=$I$139,C140*$M$139*'REAJUST FISCAL'!D140,IF(B140=$I$140,C140*$M$140*'REAJUST FISCAL'!D140,C140*'REAJUST FISCAL'!D140))</f>
        <v>0</v>
      </c>
      <c r="F140" s="399">
        <f t="shared" si="11"/>
        <v>0</v>
      </c>
      <c r="G140" s="400" t="s">
        <v>743</v>
      </c>
      <c r="I140" s="412">
        <f>+YEAR(G.OCAS!F34)</f>
        <v>2024</v>
      </c>
      <c r="J140" s="416">
        <v>45292</v>
      </c>
      <c r="K140" s="412">
        <v>360</v>
      </c>
      <c r="L140" s="413">
        <f>+_xlfn.DAYS(G.OCAS!F34,J140)</f>
        <v>29</v>
      </c>
      <c r="M140" s="414">
        <f>+L140/K140</f>
        <v>8.0555555555555561E-2</v>
      </c>
    </row>
    <row r="141" spans="2:14" ht="17">
      <c r="B141" s="395">
        <v>1988</v>
      </c>
      <c r="C141" s="396">
        <v>0.23649999999999999</v>
      </c>
      <c r="D141" s="397">
        <f>+IF('REAJUST FISCAL'!B141='REAJUST FISCAL'!$I$139,G.OCAS!$F$32,'REAJUST FISCAL'!F140)</f>
        <v>0</v>
      </c>
      <c r="E141" s="398">
        <f>+IF(B141=$I$139,C141*$M$139*'REAJUST FISCAL'!D141,IF(B141=$I$140,C141*$M$140*'REAJUST FISCAL'!D141,C141*'REAJUST FISCAL'!D141))</f>
        <v>0</v>
      </c>
      <c r="F141" s="399">
        <f t="shared" si="11"/>
        <v>0</v>
      </c>
      <c r="G141" s="400" t="s">
        <v>744</v>
      </c>
    </row>
    <row r="142" spans="2:14" ht="17">
      <c r="B142" s="395">
        <v>1989</v>
      </c>
      <c r="C142" s="396">
        <v>0.27989999999999998</v>
      </c>
      <c r="D142" s="397">
        <f>+IF('REAJUST FISCAL'!B142='REAJUST FISCAL'!$I$139,G.OCAS!$F$32,'REAJUST FISCAL'!F141)</f>
        <v>0</v>
      </c>
      <c r="E142" s="398">
        <f>+IF(B142=$I$139,C142*$M$139*'REAJUST FISCAL'!D142,IF(B142=$I$140,C142*$M$140*'REAJUST FISCAL'!D142,C142*'REAJUST FISCAL'!D142))</f>
        <v>0</v>
      </c>
      <c r="F142" s="399">
        <f t="shared" si="11"/>
        <v>0</v>
      </c>
      <c r="G142" s="400" t="s">
        <v>745</v>
      </c>
    </row>
    <row r="143" spans="2:14" ht="17">
      <c r="B143" s="395">
        <v>1990</v>
      </c>
      <c r="C143" s="396">
        <v>0.26640000000000003</v>
      </c>
      <c r="D143" s="397">
        <f>+IF('REAJUST FISCAL'!B143='REAJUST FISCAL'!$I$139,G.OCAS!$F$32,'REAJUST FISCAL'!F142)</f>
        <v>0</v>
      </c>
      <c r="E143" s="398">
        <f>+IF(B143=$I$139,C143*$M$139*'REAJUST FISCAL'!D143,IF(B143=$I$140,C143*$M$140*'REAJUST FISCAL'!D143,C143*'REAJUST FISCAL'!D143))</f>
        <v>0</v>
      </c>
      <c r="F143" s="399">
        <f t="shared" si="11"/>
        <v>0</v>
      </c>
      <c r="G143" s="400" t="s">
        <v>746</v>
      </c>
    </row>
    <row r="144" spans="2:14" ht="17">
      <c r="B144" s="395">
        <v>1991</v>
      </c>
      <c r="C144" s="396">
        <v>0.3004</v>
      </c>
      <c r="D144" s="397">
        <f>+IF('REAJUST FISCAL'!B144='REAJUST FISCAL'!$I$139,G.OCAS!$F$32,'REAJUST FISCAL'!F143)</f>
        <v>0</v>
      </c>
      <c r="E144" s="398">
        <f>+IF(B144=$I$139,C144*$M$139*'REAJUST FISCAL'!D144,IF(B144=$I$140,C144*$M$140*'REAJUST FISCAL'!D144,C144*'REAJUST FISCAL'!D144))</f>
        <v>0</v>
      </c>
      <c r="F144" s="399">
        <f t="shared" si="11"/>
        <v>0</v>
      </c>
      <c r="G144" s="400" t="s">
        <v>747</v>
      </c>
    </row>
    <row r="145" spans="2:9" ht="17">
      <c r="B145" s="395">
        <v>1992</v>
      </c>
      <c r="C145" s="396">
        <v>0.29809999999999998</v>
      </c>
      <c r="D145" s="397">
        <f>+IF('REAJUST FISCAL'!B145='REAJUST FISCAL'!$I$139,G.OCAS!$F$32,'REAJUST FISCAL'!F144)</f>
        <v>0</v>
      </c>
      <c r="E145" s="398">
        <f>+IF(B145=$I$139,C145*$M$139*'REAJUST FISCAL'!D145,IF(B145=$I$140,C145*$M$140*'REAJUST FISCAL'!D145,C145*'REAJUST FISCAL'!D145))</f>
        <v>0</v>
      </c>
      <c r="F145" s="399">
        <f t="shared" si="11"/>
        <v>0</v>
      </c>
      <c r="G145" s="400" t="s">
        <v>748</v>
      </c>
    </row>
    <row r="146" spans="2:9" ht="17">
      <c r="B146" s="395">
        <v>1993</v>
      </c>
      <c r="C146" s="396">
        <v>0.26200000000000001</v>
      </c>
      <c r="D146" s="397">
        <f>+IF('REAJUST FISCAL'!B146='REAJUST FISCAL'!$I$139,G.OCAS!$F$32,'REAJUST FISCAL'!F145)</f>
        <v>0</v>
      </c>
      <c r="E146" s="398">
        <f>+IF(B146=$I$139,C146*$M$139*'REAJUST FISCAL'!D146,IF(B146=$I$140,C146*$M$140*'REAJUST FISCAL'!D146,C146*'REAJUST FISCAL'!D146))</f>
        <v>0</v>
      </c>
      <c r="F146" s="399">
        <f t="shared" si="11"/>
        <v>0</v>
      </c>
      <c r="G146" s="400" t="s">
        <v>749</v>
      </c>
    </row>
    <row r="147" spans="2:9" ht="17">
      <c r="B147" s="395">
        <v>1994</v>
      </c>
      <c r="C147" s="396">
        <v>0.2208</v>
      </c>
      <c r="D147" s="397">
        <f>+IF('REAJUST FISCAL'!B147='REAJUST FISCAL'!$I$139,G.OCAS!$F$32,'REAJUST FISCAL'!F146)</f>
        <v>0</v>
      </c>
      <c r="E147" s="398">
        <f>+IF(B147=$I$139,C147*$M$139*'REAJUST FISCAL'!D147,IF(B147=$I$140,C147*$M$140*'REAJUST FISCAL'!D147,C147*'REAJUST FISCAL'!D147))</f>
        <v>0</v>
      </c>
      <c r="F147" s="399">
        <f t="shared" si="11"/>
        <v>0</v>
      </c>
      <c r="G147" s="400" t="s">
        <v>750</v>
      </c>
    </row>
    <row r="148" spans="2:9" ht="17">
      <c r="B148" s="395">
        <v>1995</v>
      </c>
      <c r="C148" s="396">
        <v>0.22309999999999999</v>
      </c>
      <c r="D148" s="397">
        <f>+IF('REAJUST FISCAL'!B148='REAJUST FISCAL'!$I$139,G.OCAS!$F$32,'REAJUST FISCAL'!F147)</f>
        <v>0</v>
      </c>
      <c r="E148" s="398">
        <f>+IF(B148=$I$139,C148*$M$139*'REAJUST FISCAL'!D148,IF(B148=$I$140,C148*$M$140*'REAJUST FISCAL'!D148,C148*'REAJUST FISCAL'!D148))</f>
        <v>0</v>
      </c>
      <c r="F148" s="399">
        <f t="shared" si="11"/>
        <v>0</v>
      </c>
      <c r="G148" s="400" t="s">
        <v>751</v>
      </c>
    </row>
    <row r="149" spans="2:9" ht="17">
      <c r="B149" s="395">
        <v>1996</v>
      </c>
      <c r="C149" s="396">
        <v>0.18</v>
      </c>
      <c r="D149" s="397">
        <f>+IF('REAJUST FISCAL'!B149='REAJUST FISCAL'!$I$139,G.OCAS!$F$32,'REAJUST FISCAL'!F148)</f>
        <v>0</v>
      </c>
      <c r="E149" s="398">
        <f>+IF(B149=$I$139,C149*$M$139*'REAJUST FISCAL'!D149,IF(B149=$I$140,C149*$M$140*'REAJUST FISCAL'!D149,C149*'REAJUST FISCAL'!D149))</f>
        <v>0</v>
      </c>
      <c r="F149" s="399">
        <f t="shared" si="11"/>
        <v>0</v>
      </c>
      <c r="G149" s="400" t="s">
        <v>752</v>
      </c>
    </row>
    <row r="150" spans="2:9" ht="17">
      <c r="B150" s="395">
        <v>1997</v>
      </c>
      <c r="C150" s="396">
        <v>0.16</v>
      </c>
      <c r="D150" s="397">
        <f>+IF('REAJUST FISCAL'!B150='REAJUST FISCAL'!$I$139,G.OCAS!$F$32,'REAJUST FISCAL'!F149)</f>
        <v>0</v>
      </c>
      <c r="E150" s="398">
        <f>+IF(B150=$I$139,C150*$M$139*'REAJUST FISCAL'!D150,IF(B150=$I$140,C150*$M$140*'REAJUST FISCAL'!D150,C150*'REAJUST FISCAL'!D150))</f>
        <v>0</v>
      </c>
      <c r="F150" s="399">
        <f t="shared" si="11"/>
        <v>0</v>
      </c>
      <c r="G150" s="400" t="s">
        <v>753</v>
      </c>
    </row>
    <row r="151" spans="2:9" ht="17">
      <c r="B151" s="395">
        <v>1998</v>
      </c>
      <c r="C151" s="396">
        <v>0.16</v>
      </c>
      <c r="D151" s="397">
        <f>+IF('REAJUST FISCAL'!B151='REAJUST FISCAL'!$I$139,G.OCAS!$F$32,'REAJUST FISCAL'!F150)</f>
        <v>0</v>
      </c>
      <c r="E151" s="398">
        <f>+IF(B151=$I$139,C151*$M$139*'REAJUST FISCAL'!D151,IF(B151=$I$140,C151*$M$140*'REAJUST FISCAL'!D151,C151*'REAJUST FISCAL'!D151))</f>
        <v>0</v>
      </c>
      <c r="F151" s="399">
        <f t="shared" si="11"/>
        <v>0</v>
      </c>
      <c r="G151" s="400" t="s">
        <v>754</v>
      </c>
    </row>
    <row r="152" spans="2:9" ht="17">
      <c r="B152" s="395">
        <v>1999</v>
      </c>
      <c r="C152" s="396">
        <v>0.17069999999999999</v>
      </c>
      <c r="D152" s="397">
        <f>+IF('REAJUST FISCAL'!B152='REAJUST FISCAL'!$I$139,G.OCAS!$F$32,'REAJUST FISCAL'!F151)</f>
        <v>0</v>
      </c>
      <c r="E152" s="398">
        <f>+IF(B152=$I$139,C152*$M$139*'REAJUST FISCAL'!D152,IF(B152=$I$140,C152*$M$140*'REAJUST FISCAL'!D152,C152*'REAJUST FISCAL'!D152))</f>
        <v>0</v>
      </c>
      <c r="F152" s="399">
        <f t="shared" si="11"/>
        <v>0</v>
      </c>
      <c r="G152" s="400" t="s">
        <v>755</v>
      </c>
    </row>
    <row r="153" spans="2:9" ht="17">
      <c r="B153" s="395">
        <v>2000</v>
      </c>
      <c r="C153" s="396">
        <v>9.3600000000000003E-2</v>
      </c>
      <c r="D153" s="397">
        <f>+IF('REAJUST FISCAL'!B153='REAJUST FISCAL'!$I$139,G.OCAS!$F$32,'REAJUST FISCAL'!F152)</f>
        <v>0</v>
      </c>
      <c r="E153" s="398">
        <f>+IF(B153=$I$139,C153*$M$139*'REAJUST FISCAL'!D153,IF(B153=$I$140,C153*$M$140*'REAJUST FISCAL'!D153,C153*'REAJUST FISCAL'!D153))</f>
        <v>0</v>
      </c>
      <c r="F153" s="399">
        <f t="shared" si="11"/>
        <v>0</v>
      </c>
      <c r="G153" s="400" t="s">
        <v>756</v>
      </c>
    </row>
    <row r="154" spans="2:9" ht="17">
      <c r="B154" s="395">
        <v>2001</v>
      </c>
      <c r="C154" s="396">
        <v>8.9599999999999999E-2</v>
      </c>
      <c r="D154" s="397">
        <f>+IF('REAJUST FISCAL'!B154='REAJUST FISCAL'!$I$139,G.OCAS!$F$32,'REAJUST FISCAL'!F153)</f>
        <v>0</v>
      </c>
      <c r="E154" s="398">
        <f>+IF(B154=$I$139,C154*$M$139*'REAJUST FISCAL'!D154,IF(B154=$I$140,C154*$M$140*'REAJUST FISCAL'!D154,C154*'REAJUST FISCAL'!D154))</f>
        <v>0</v>
      </c>
      <c r="F154" s="399">
        <f t="shared" si="11"/>
        <v>0</v>
      </c>
      <c r="G154" s="400" t="s">
        <v>757</v>
      </c>
      <c r="I154" s="406">
        <f t="shared" ref="I154:I157" si="12">+D154*C154</f>
        <v>0</v>
      </c>
    </row>
    <row r="155" spans="2:9" ht="17">
      <c r="B155" s="395">
        <v>2002</v>
      </c>
      <c r="C155" s="396">
        <v>0.06</v>
      </c>
      <c r="D155" s="397">
        <f>+IF('REAJUST FISCAL'!B155='REAJUST FISCAL'!$I$139,G.OCAS!$F$32,'REAJUST FISCAL'!F154)</f>
        <v>0</v>
      </c>
      <c r="E155" s="398">
        <f>+IF(B155=$I$139,C155*$M$139*'REAJUST FISCAL'!D155,IF(B155=$I$140,C155*$M$140*'REAJUST FISCAL'!D155,C155*'REAJUST FISCAL'!D155))</f>
        <v>0</v>
      </c>
      <c r="F155" s="399">
        <f t="shared" si="11"/>
        <v>0</v>
      </c>
      <c r="G155" s="400" t="s">
        <v>758</v>
      </c>
      <c r="I155" s="406">
        <f t="shared" si="12"/>
        <v>0</v>
      </c>
    </row>
    <row r="156" spans="2:9" ht="17">
      <c r="B156" s="395">
        <v>2003</v>
      </c>
      <c r="C156" s="396">
        <v>0.06</v>
      </c>
      <c r="D156" s="397">
        <f>+IF('REAJUST FISCAL'!B156='REAJUST FISCAL'!$I$139,G.OCAS!$F$32,'REAJUST FISCAL'!F155)</f>
        <v>0</v>
      </c>
      <c r="E156" s="398">
        <f>+IF(B156=$I$139,C156*$M$139*'REAJUST FISCAL'!D156,IF(B156=$I$140,C156*$M$140*'REAJUST FISCAL'!D156,C156*'REAJUST FISCAL'!D156))</f>
        <v>0</v>
      </c>
      <c r="F156" s="399">
        <f t="shared" si="11"/>
        <v>0</v>
      </c>
      <c r="G156" s="400" t="s">
        <v>759</v>
      </c>
      <c r="I156" s="406">
        <f t="shared" si="12"/>
        <v>0</v>
      </c>
    </row>
    <row r="157" spans="2:9" ht="17">
      <c r="B157" s="395">
        <v>2004</v>
      </c>
      <c r="C157" s="396">
        <v>6.9500000000000006E-2</v>
      </c>
      <c r="D157" s="397">
        <f>+IF('REAJUST FISCAL'!B157='REAJUST FISCAL'!$I$139,G.OCAS!$F$32,'REAJUST FISCAL'!F156)</f>
        <v>0</v>
      </c>
      <c r="E157" s="398">
        <f>+IF(B157=$I$139,C157*$M$139*'REAJUST FISCAL'!D157,IF(B157=$I$140,C157*$M$140*'REAJUST FISCAL'!D157,C157*'REAJUST FISCAL'!D157))</f>
        <v>0</v>
      </c>
      <c r="F157" s="399">
        <f t="shared" si="11"/>
        <v>0</v>
      </c>
      <c r="G157" s="400" t="s">
        <v>760</v>
      </c>
      <c r="I157" s="406">
        <f t="shared" si="12"/>
        <v>0</v>
      </c>
    </row>
    <row r="158" spans="2:9" ht="17">
      <c r="B158" s="395">
        <v>2005</v>
      </c>
      <c r="C158" s="396">
        <v>6.0999999999999999E-2</v>
      </c>
      <c r="D158" s="397">
        <f>+IF('REAJUST FISCAL'!B158='REAJUST FISCAL'!$I$139,G.OCAS!$F$32,'REAJUST FISCAL'!F157)</f>
        <v>0</v>
      </c>
      <c r="E158" s="398">
        <f>+IF(B158=$I$139,C158*$M$139*'REAJUST FISCAL'!D158,IF(B158=$I$140,C158*$M$140*'REAJUST FISCAL'!D158,C158*'REAJUST FISCAL'!D158))</f>
        <v>0</v>
      </c>
      <c r="F158" s="399">
        <f t="shared" si="11"/>
        <v>0</v>
      </c>
      <c r="G158" s="400" t="s">
        <v>761</v>
      </c>
      <c r="I158" s="406">
        <f>+D158*C158</f>
        <v>0</v>
      </c>
    </row>
    <row r="159" spans="2:9" ht="17">
      <c r="B159" s="395">
        <v>2006</v>
      </c>
      <c r="C159" s="396">
        <v>4.87E-2</v>
      </c>
      <c r="D159" s="397">
        <f>+IF('REAJUST FISCAL'!B159='REAJUST FISCAL'!$I$139,G.OCAS!$F$32,'REAJUST FISCAL'!F158)</f>
        <v>0</v>
      </c>
      <c r="E159" s="398">
        <f>+IF(B159=$I$139,C159*$M$139*'REAJUST FISCAL'!D159,IF(B159=$I$140,C159*$M$140*'REAJUST FISCAL'!D159,C159*'REAJUST FISCAL'!D159))</f>
        <v>0</v>
      </c>
      <c r="F159" s="399">
        <f t="shared" si="11"/>
        <v>0</v>
      </c>
      <c r="G159" s="400" t="s">
        <v>762</v>
      </c>
      <c r="I159" s="406">
        <f>+D159*C159</f>
        <v>0</v>
      </c>
    </row>
    <row r="160" spans="2:9" ht="17">
      <c r="B160" s="395">
        <v>2007</v>
      </c>
      <c r="C160" s="396">
        <v>5.1499999999999997E-2</v>
      </c>
      <c r="D160" s="397">
        <f>+IF('REAJUST FISCAL'!B160='REAJUST FISCAL'!$I$139,G.OCAS!$F$32,'REAJUST FISCAL'!F159)</f>
        <v>0</v>
      </c>
      <c r="E160" s="398">
        <f>+IF(B160=$I$139,C160*$M$139*'REAJUST FISCAL'!D160,IF(B160=$I$140,C160*$M$140*'REAJUST FISCAL'!D160,C160*'REAJUST FISCAL'!D160))</f>
        <v>0</v>
      </c>
      <c r="F160" s="399">
        <f t="shared" si="11"/>
        <v>0</v>
      </c>
      <c r="G160" s="400" t="s">
        <v>763</v>
      </c>
      <c r="I160" s="406">
        <f>+D160*C160</f>
        <v>0</v>
      </c>
    </row>
    <row r="161" spans="2:9" ht="17">
      <c r="B161" s="395">
        <v>2008</v>
      </c>
      <c r="C161" s="396">
        <v>7.7499999999999999E-2</v>
      </c>
      <c r="D161" s="397">
        <f>+IF('REAJUST FISCAL'!B161='REAJUST FISCAL'!$I$139,G.OCAS!$F$32,'REAJUST FISCAL'!F160)</f>
        <v>0</v>
      </c>
      <c r="E161" s="398">
        <f>+IF(B161=$I$139,C161*$M$139*'REAJUST FISCAL'!D161,IF(B161=$I$140,C161*$M$140*'REAJUST FISCAL'!D161,C161*'REAJUST FISCAL'!D161))</f>
        <v>0</v>
      </c>
      <c r="F161" s="399">
        <f t="shared" si="11"/>
        <v>0</v>
      </c>
      <c r="G161" s="400" t="s">
        <v>764</v>
      </c>
    </row>
    <row r="162" spans="2:9" ht="17">
      <c r="B162" s="395">
        <v>2009</v>
      </c>
      <c r="C162" s="396">
        <v>3.3300000000000003E-2</v>
      </c>
      <c r="D162" s="397">
        <f>+IF('REAJUST FISCAL'!B162='REAJUST FISCAL'!$I$139,G.OCAS!$F$32,'REAJUST FISCAL'!F161)</f>
        <v>0</v>
      </c>
      <c r="E162" s="398">
        <f>+IF(B162=$I$139,C162*$M$139*'REAJUST FISCAL'!D162,IF(B162=$I$140,C162*$M$140*'REAJUST FISCAL'!D162,C162*'REAJUST FISCAL'!D162))</f>
        <v>0</v>
      </c>
      <c r="F162" s="399">
        <f t="shared" si="11"/>
        <v>0</v>
      </c>
      <c r="G162" s="400" t="s">
        <v>765</v>
      </c>
      <c r="I162" s="406">
        <f>+D162*C162</f>
        <v>0</v>
      </c>
    </row>
    <row r="163" spans="2:9" ht="17">
      <c r="B163" s="395">
        <v>2010</v>
      </c>
      <c r="C163" s="396">
        <v>2.35E-2</v>
      </c>
      <c r="D163" s="397">
        <f>+IF('REAJUST FISCAL'!B163='REAJUST FISCAL'!$I$139,G.OCAS!$F$32,'REAJUST FISCAL'!F162)</f>
        <v>0</v>
      </c>
      <c r="E163" s="398">
        <f>+IF(B163=$I$139,C163*$M$139*'REAJUST FISCAL'!D163,IF(B163=$I$140,C163*$M$140*'REAJUST FISCAL'!D163,C163*'REAJUST FISCAL'!D163))</f>
        <v>0</v>
      </c>
      <c r="F163" s="399">
        <f t="shared" si="11"/>
        <v>0</v>
      </c>
      <c r="G163" s="400" t="s">
        <v>766</v>
      </c>
      <c r="I163" s="406">
        <f>+D163*C163</f>
        <v>0</v>
      </c>
    </row>
    <row r="164" spans="2:9" ht="17">
      <c r="B164" s="395">
        <v>2011</v>
      </c>
      <c r="C164" s="396">
        <v>3.6499999999999998E-2</v>
      </c>
      <c r="D164" s="397">
        <f>+IF('REAJUST FISCAL'!B164='REAJUST FISCAL'!$I$139,G.OCAS!$F$32,'REAJUST FISCAL'!F163)</f>
        <v>0</v>
      </c>
      <c r="E164" s="398">
        <f>+IF(B164=$I$139,C164*$M$139*'REAJUST FISCAL'!D164,IF(B164=$I$140,C164*$M$140*'REAJUST FISCAL'!D164,C164*'REAJUST FISCAL'!D164))</f>
        <v>0</v>
      </c>
      <c r="F164" s="399">
        <f>+'REAJUST FISCAL'!D164+E164</f>
        <v>0</v>
      </c>
      <c r="G164" s="400" t="s">
        <v>767</v>
      </c>
      <c r="I164" s="406">
        <f>+'REAJUST FISCAL'!D164*C164</f>
        <v>0</v>
      </c>
    </row>
    <row r="165" spans="2:9" ht="17">
      <c r="B165" s="395">
        <v>2012</v>
      </c>
      <c r="C165" s="396">
        <v>3.04E-2</v>
      </c>
      <c r="D165" s="397">
        <f>+IF('REAJUST FISCAL'!B165='REAJUST FISCAL'!$I$139,G.OCAS!$F$32,'REAJUST FISCAL'!F164)</f>
        <v>0</v>
      </c>
      <c r="E165" s="398">
        <f>+IF(B165=$I$139,C165*$M$139*'REAJUST FISCAL'!D165,IF(B165=$I$140,C165*$M$140*'REAJUST FISCAL'!D165,C165*'REAJUST FISCAL'!D165))</f>
        <v>0</v>
      </c>
      <c r="F165" s="399">
        <f t="shared" ref="F165:F172" si="13">+D165+E165</f>
        <v>0</v>
      </c>
      <c r="G165" s="400" t="s">
        <v>768</v>
      </c>
      <c r="I165" s="406">
        <f t="shared" ref="I165:I172" si="14">+D165*C165</f>
        <v>0</v>
      </c>
    </row>
    <row r="166" spans="2:9" ht="17">
      <c r="B166" s="395">
        <v>2013</v>
      </c>
      <c r="C166" s="396">
        <v>2.4E-2</v>
      </c>
      <c r="D166" s="397">
        <f>+IF('REAJUST FISCAL'!B166='REAJUST FISCAL'!$I$139,G.OCAS!$F$32,'REAJUST FISCAL'!F165)</f>
        <v>0</v>
      </c>
      <c r="E166" s="398">
        <f>+IF(B166=$I$139,C166*$M$139*'REAJUST FISCAL'!D166,IF(B166=$I$140,C166*$M$140*'REAJUST FISCAL'!D166,C166*'REAJUST FISCAL'!D166))</f>
        <v>0</v>
      </c>
      <c r="F166" s="399">
        <f t="shared" si="13"/>
        <v>0</v>
      </c>
      <c r="G166" s="400" t="s">
        <v>769</v>
      </c>
      <c r="I166" s="406">
        <f t="shared" si="14"/>
        <v>0</v>
      </c>
    </row>
    <row r="167" spans="2:9" ht="17">
      <c r="B167" s="395">
        <v>2014</v>
      </c>
      <c r="C167" s="396">
        <v>2.8899999999999999E-2</v>
      </c>
      <c r="D167" s="397">
        <f>+IF('REAJUST FISCAL'!B167='REAJUST FISCAL'!$I$139,G.OCAS!$F$32,'REAJUST FISCAL'!F166)</f>
        <v>0</v>
      </c>
      <c r="E167" s="398">
        <f>+IF(B167=$I$139,C167*$M$139*'REAJUST FISCAL'!D167,IF(B167=$I$140,C167*$M$140*'REAJUST FISCAL'!D167,C167*'REAJUST FISCAL'!D167))</f>
        <v>0</v>
      </c>
      <c r="F167" s="399">
        <f t="shared" si="13"/>
        <v>0</v>
      </c>
      <c r="G167" s="400" t="s">
        <v>770</v>
      </c>
      <c r="I167" s="406">
        <f t="shared" si="14"/>
        <v>0</v>
      </c>
    </row>
    <row r="168" spans="2:9" ht="17">
      <c r="B168" s="395">
        <v>2015</v>
      </c>
      <c r="C168" s="396">
        <v>5.21E-2</v>
      </c>
      <c r="D168" s="397">
        <f>+IF('REAJUST FISCAL'!B168='REAJUST FISCAL'!$I$139,G.OCAS!$F$32,'REAJUST FISCAL'!F167)</f>
        <v>0</v>
      </c>
      <c r="E168" s="398">
        <f>+IF(B168=$I$139,C168*$M$139*'REAJUST FISCAL'!D168,IF(B168=$I$140,C168*$M$140*'REAJUST FISCAL'!D168,C168*'REAJUST FISCAL'!D168))</f>
        <v>0</v>
      </c>
      <c r="F168" s="399">
        <f t="shared" si="13"/>
        <v>0</v>
      </c>
      <c r="G168" s="400" t="s">
        <v>771</v>
      </c>
      <c r="I168" s="406">
        <f t="shared" si="14"/>
        <v>0</v>
      </c>
    </row>
    <row r="169" spans="2:9" ht="17">
      <c r="B169" s="395">
        <v>2016</v>
      </c>
      <c r="C169" s="396">
        <v>7.0800000000000002E-2</v>
      </c>
      <c r="D169" s="397">
        <f>+IF('REAJUST FISCAL'!B169='REAJUST FISCAL'!$I$139,G.OCAS!$F$32,'REAJUST FISCAL'!F168)</f>
        <v>0</v>
      </c>
      <c r="E169" s="398">
        <f>+IF(B169=$I$139,C169*$M$139*'REAJUST FISCAL'!D169,IF(B169=$I$140,C169*$M$140*'REAJUST FISCAL'!D169,C169*'REAJUST FISCAL'!D169))</f>
        <v>0</v>
      </c>
      <c r="F169" s="399">
        <f t="shared" si="13"/>
        <v>0</v>
      </c>
      <c r="G169" s="400" t="s">
        <v>772</v>
      </c>
      <c r="I169" s="406">
        <f t="shared" si="14"/>
        <v>0</v>
      </c>
    </row>
    <row r="170" spans="2:9" ht="17">
      <c r="B170" s="395">
        <v>2017</v>
      </c>
      <c r="C170" s="396">
        <v>4.07E-2</v>
      </c>
      <c r="D170" s="397">
        <f>+IF('REAJUST FISCAL'!B170='REAJUST FISCAL'!$I$139,G.OCAS!$F$32,'REAJUST FISCAL'!F169)</f>
        <v>0</v>
      </c>
      <c r="E170" s="398">
        <f>+IF(B170=$I$139,C170*$M$139*'REAJUST FISCAL'!D170,IF(B170=$I$140,C170*$M$140*'REAJUST FISCAL'!D170,C170*'REAJUST FISCAL'!D170))</f>
        <v>0</v>
      </c>
      <c r="F170" s="399">
        <f t="shared" si="13"/>
        <v>0</v>
      </c>
      <c r="G170" s="400" t="s">
        <v>773</v>
      </c>
      <c r="I170" s="406">
        <f t="shared" si="14"/>
        <v>0</v>
      </c>
    </row>
    <row r="171" spans="2:9" ht="17">
      <c r="B171" s="395">
        <v>2018</v>
      </c>
      <c r="C171" s="396">
        <v>4.07E-2</v>
      </c>
      <c r="D171" s="397">
        <f>+IF('REAJUST FISCAL'!B171='REAJUST FISCAL'!$I$139,G.OCAS!$F$32,'REAJUST FISCAL'!F170)</f>
        <v>0</v>
      </c>
      <c r="E171" s="398">
        <f>+IF(B171=$I$139,C171*$M$139*'REAJUST FISCAL'!D171,IF(B171=$I$140,C171*$M$140*'REAJUST FISCAL'!D171,C171*'REAJUST FISCAL'!D171))</f>
        <v>0</v>
      </c>
      <c r="F171" s="399">
        <f t="shared" si="13"/>
        <v>0</v>
      </c>
      <c r="G171" s="400" t="s">
        <v>774</v>
      </c>
      <c r="I171" s="406">
        <f t="shared" si="14"/>
        <v>0</v>
      </c>
    </row>
    <row r="172" spans="2:9" ht="17">
      <c r="B172" s="395">
        <v>2019</v>
      </c>
      <c r="C172" s="401">
        <v>3.3599999999999998E-2</v>
      </c>
      <c r="D172" s="397">
        <f>+IF('REAJUST FISCAL'!B172='REAJUST FISCAL'!$I$139,G.OCAS!$F$32,'REAJUST FISCAL'!F171)</f>
        <v>0</v>
      </c>
      <c r="E172" s="398">
        <f>+IF(B172=$I$139,C172*$M$139*'REAJUST FISCAL'!D172,IF(B172=$I$140,C172*$M$140*'REAJUST FISCAL'!D172,C172*'REAJUST FISCAL'!D172))</f>
        <v>0</v>
      </c>
      <c r="F172" s="399">
        <f t="shared" si="13"/>
        <v>0</v>
      </c>
      <c r="G172" s="400" t="s">
        <v>775</v>
      </c>
      <c r="I172" s="406">
        <f t="shared" si="14"/>
        <v>0</v>
      </c>
    </row>
    <row r="173" spans="2:9" ht="17">
      <c r="B173" s="395">
        <v>2020</v>
      </c>
      <c r="C173" s="401">
        <v>3.9E-2</v>
      </c>
      <c r="D173" s="397">
        <f>+IF('REAJUST FISCAL'!B173='REAJUST FISCAL'!$I$139,G.OCAS!$F$32,'REAJUST FISCAL'!F172)</f>
        <v>0</v>
      </c>
      <c r="E173" s="398">
        <f>+IF(B173=$I$139,C173*$M$139*'REAJUST FISCAL'!D173,IF(B173=$I$140,C173*$M$140*'REAJUST FISCAL'!D173,C173*'REAJUST FISCAL'!D173))</f>
        <v>0</v>
      </c>
      <c r="F173" s="399">
        <f>+'REAJUST FISCAL'!D173+E173</f>
        <v>0</v>
      </c>
      <c r="G173" s="400" t="s">
        <v>776</v>
      </c>
      <c r="I173" s="406">
        <f>+'REAJUST FISCAL'!D173*C173</f>
        <v>0</v>
      </c>
    </row>
    <row r="174" spans="2:9" ht="17">
      <c r="B174" s="395">
        <v>2021</v>
      </c>
      <c r="C174" s="401">
        <v>1.9699999999999999E-2</v>
      </c>
      <c r="D174" s="397">
        <f>+IF('REAJUST FISCAL'!B174='REAJUST FISCAL'!$I$139,G.OCAS!$F$32,'REAJUST FISCAL'!F173)</f>
        <v>0</v>
      </c>
      <c r="E174" s="398">
        <f>+IF(B174=$I$139,C174*$M$139*'REAJUST FISCAL'!D174,IF(B174=$I$140,C174*$M$140*'REAJUST FISCAL'!D174,C174*'REAJUST FISCAL'!D174))</f>
        <v>0</v>
      </c>
      <c r="F174" s="399">
        <f>+D174+E174</f>
        <v>0</v>
      </c>
      <c r="G174" s="400" t="s">
        <v>777</v>
      </c>
      <c r="I174" s="406">
        <f>+D174*C174</f>
        <v>0</v>
      </c>
    </row>
    <row r="175" spans="2:9" ht="17">
      <c r="B175" s="395">
        <v>2022</v>
      </c>
      <c r="C175" s="401">
        <v>4.6699999999999998E-2</v>
      </c>
      <c r="D175" s="397">
        <f>+IF('REAJUST FISCAL'!B175='REAJUST FISCAL'!$I$139,G.OCAS!$F$32,'REAJUST FISCAL'!F174)</f>
        <v>0</v>
      </c>
      <c r="E175" s="398">
        <f>+IF(B175=$I$139,C175*$M$139*'REAJUST FISCAL'!D175,IF(B175=$I$140,C175*$M$140*'REAJUST FISCAL'!D175,C175*'REAJUST FISCAL'!D175))</f>
        <v>0</v>
      </c>
      <c r="F175" s="399">
        <f>+D175+E175</f>
        <v>0</v>
      </c>
      <c r="G175" s="402" t="s">
        <v>778</v>
      </c>
      <c r="I175" s="406">
        <f>+D175*C175</f>
        <v>0</v>
      </c>
    </row>
    <row r="176" spans="2:9" ht="17">
      <c r="B176" s="403">
        <v>2023</v>
      </c>
      <c r="C176" s="401">
        <v>0.124</v>
      </c>
      <c r="D176" s="397">
        <f>+IF('REAJUST FISCAL'!B176='REAJUST FISCAL'!$I$139,G.OCAS!$F$32,'REAJUST FISCAL'!F175)</f>
        <v>0</v>
      </c>
      <c r="E176" s="398">
        <f>+IF(B176=$I$139,C176*$M$139*'REAJUST FISCAL'!D176,IF(B176=$I$140,C176*$M$140*'REAJUST FISCAL'!D176,C176*'REAJUST FISCAL'!D176))</f>
        <v>0</v>
      </c>
      <c r="F176" s="399">
        <f>+D176+E176</f>
        <v>0</v>
      </c>
      <c r="G176" s="402" t="s">
        <v>779</v>
      </c>
      <c r="I176" s="406">
        <f>+D176*C176</f>
        <v>0</v>
      </c>
    </row>
    <row r="177" spans="2:9" ht="17">
      <c r="B177" s="403">
        <v>2024</v>
      </c>
      <c r="C177" s="401">
        <v>0.10970000000000001</v>
      </c>
      <c r="D177" s="397">
        <f>+IF('REAJUST FISCAL'!B177='REAJUST FISCAL'!$I$139,G.OCAS!$F$32,'REAJUST FISCAL'!F176)</f>
        <v>0</v>
      </c>
      <c r="E177" s="398">
        <f>+IF(B177=$I$139,C177*$M$139*'REAJUST FISCAL'!D177,IF(B177=$I$140,C177*$M$140*'REAJUST FISCAL'!D177,C177*'REAJUST FISCAL'!D177))</f>
        <v>0</v>
      </c>
      <c r="F177" s="399">
        <f>+D177+E177</f>
        <v>0</v>
      </c>
      <c r="G177" s="402" t="s">
        <v>780</v>
      </c>
      <c r="I177" s="406">
        <f>+D177*C177</f>
        <v>0</v>
      </c>
    </row>
    <row r="178" spans="2:9" ht="17">
      <c r="B178" s="403">
        <v>2024</v>
      </c>
      <c r="C178" s="401">
        <v>5.8099999999999999E-2</v>
      </c>
      <c r="D178" s="397">
        <f>+IF('REAJUST FISCAL'!B178='REAJUST FISCAL'!$I$139,G.OCAS!$F$32,'REAJUST FISCAL'!F177)</f>
        <v>0</v>
      </c>
      <c r="E178" s="398">
        <f>+IF(B178=$I$139,C178*$M$139*'REAJUST FISCAL'!D178,IF(B178=$I$140,C178*$M$140*'REAJUST FISCAL'!D178,C178*'REAJUST FISCAL'!D178))</f>
        <v>0</v>
      </c>
      <c r="F178" s="399">
        <f>+D178+E178</f>
        <v>0</v>
      </c>
      <c r="G178" s="402" t="s">
        <v>842</v>
      </c>
      <c r="I178" s="406"/>
    </row>
    <row r="179" spans="2:9">
      <c r="B179" s="858" t="s">
        <v>781</v>
      </c>
      <c r="C179" s="859"/>
      <c r="D179" s="859"/>
      <c r="E179" s="860"/>
      <c r="F179" s="404">
        <f>F178</f>
        <v>0</v>
      </c>
      <c r="G179" s="403"/>
    </row>
  </sheetData>
  <mergeCells count="3">
    <mergeCell ref="B57:E57"/>
    <mergeCell ref="B117:E117"/>
    <mergeCell ref="B179:E179"/>
  </mergeCells>
  <dataValidations count="2">
    <dataValidation allowBlank="1" showInputMessage="1" showErrorMessage="1" prompt="Este decreto crea el estatuto tributario actual.  Art. 70 ET habla de reajuste fiscal_x000a_" sqref="G21 G81 G143" xr:uid="{0694B004-EA4C-E24B-A7B6-C2FFB6A4713C}"/>
    <dataValidation allowBlank="1" showInputMessage="1" showErrorMessage="1" prompt="Digite el valor de la compra a costo histórico en el año de adquisición." sqref="D65:D116 D5:D56 D127:D178" xr:uid="{DEA8FC36-8FEF-F44E-B065-7F57E46E11A2}"/>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tabColor rgb="FF0070C0"/>
  </sheetPr>
  <dimension ref="A1:J33"/>
  <sheetViews>
    <sheetView showGridLines="0" zoomScale="190" zoomScaleNormal="190" zoomScaleSheetLayoutView="133" workbookViewId="0">
      <pane ySplit="1" topLeftCell="A19" activePane="bottomLeft" state="frozen"/>
      <selection pane="bottomLeft" activeCell="E19" sqref="E19"/>
    </sheetView>
  </sheetViews>
  <sheetFormatPr baseColWidth="10" defaultColWidth="0" defaultRowHeight="16" zeroHeight="1"/>
  <cols>
    <col min="1" max="1" width="6.1640625" style="72" customWidth="1"/>
    <col min="2" max="2" width="2.5" style="131" customWidth="1"/>
    <col min="3" max="3" width="60.5" style="72" bestFit="1" customWidth="1"/>
    <col min="4" max="4" width="18.5" style="72" customWidth="1"/>
    <col min="5" max="5" width="14" style="72" bestFit="1" customWidth="1"/>
    <col min="6" max="6" width="14" style="75" bestFit="1" customWidth="1"/>
    <col min="7" max="7" width="10" style="72" customWidth="1"/>
    <col min="8" max="8" width="14" style="72" bestFit="1" customWidth="1"/>
    <col min="9" max="9" width="44.83203125" style="72" hidden="1" customWidth="1"/>
    <col min="10" max="10" width="12.5" style="72" hidden="1" customWidth="1"/>
    <col min="11" max="16384" width="11.5" style="72" hidden="1"/>
  </cols>
  <sheetData>
    <row r="1" spans="2:6">
      <c r="B1" s="863" t="s">
        <v>137</v>
      </c>
      <c r="C1" s="863"/>
      <c r="D1" s="863"/>
      <c r="E1" s="863"/>
      <c r="F1" s="863"/>
    </row>
    <row r="2" spans="2:6">
      <c r="B2" s="728" t="s">
        <v>354</v>
      </c>
      <c r="C2" s="757" t="s">
        <v>530</v>
      </c>
      <c r="D2" s="758"/>
      <c r="E2" s="759"/>
      <c r="F2" s="696">
        <f>ROUND(SUM(E9+E16),-3)</f>
        <v>0</v>
      </c>
    </row>
    <row r="3" spans="2:6">
      <c r="B3" s="729"/>
      <c r="C3" s="719" t="s">
        <v>543</v>
      </c>
      <c r="D3" s="721"/>
      <c r="E3" s="200"/>
      <c r="F3" s="697"/>
    </row>
    <row r="4" spans="2:6">
      <c r="B4" s="729"/>
      <c r="C4" s="719" t="s">
        <v>531</v>
      </c>
      <c r="D4" s="721"/>
      <c r="E4" s="200"/>
      <c r="F4" s="697"/>
    </row>
    <row r="5" spans="2:6">
      <c r="B5" s="729"/>
      <c r="C5" s="719" t="s">
        <v>532</v>
      </c>
      <c r="D5" s="721"/>
      <c r="E5" s="200"/>
      <c r="F5" s="697"/>
    </row>
    <row r="6" spans="2:6">
      <c r="B6" s="729"/>
      <c r="C6" s="719" t="s">
        <v>785</v>
      </c>
      <c r="D6" s="721"/>
      <c r="E6" s="200"/>
      <c r="F6" s="697"/>
    </row>
    <row r="7" spans="2:6">
      <c r="B7" s="729"/>
      <c r="C7" s="719"/>
      <c r="D7" s="721"/>
      <c r="E7" s="200"/>
      <c r="F7" s="697"/>
    </row>
    <row r="8" spans="2:6">
      <c r="B8" s="729"/>
      <c r="C8" s="719"/>
      <c r="D8" s="721"/>
      <c r="E8" s="200"/>
      <c r="F8" s="697"/>
    </row>
    <row r="9" spans="2:6">
      <c r="B9" s="729"/>
      <c r="C9" s="861" t="s">
        <v>126</v>
      </c>
      <c r="D9" s="862"/>
      <c r="E9" s="68">
        <f>SUM(E3:E8)</f>
        <v>0</v>
      </c>
      <c r="F9" s="697"/>
    </row>
    <row r="10" spans="2:6" hidden="1">
      <c r="B10" s="729"/>
      <c r="C10" s="864" t="s">
        <v>67</v>
      </c>
      <c r="D10" s="865"/>
      <c r="E10" s="866"/>
      <c r="F10" s="697"/>
    </row>
    <row r="11" spans="2:6" hidden="1">
      <c r="B11" s="729"/>
      <c r="C11" s="719"/>
      <c r="D11" s="721"/>
      <c r="E11" s="200"/>
      <c r="F11" s="697"/>
    </row>
    <row r="12" spans="2:6" hidden="1">
      <c r="B12" s="729"/>
      <c r="C12" s="719"/>
      <c r="D12" s="721"/>
      <c r="E12" s="200"/>
      <c r="F12" s="697"/>
    </row>
    <row r="13" spans="2:6" hidden="1">
      <c r="B13" s="729"/>
      <c r="C13" s="719"/>
      <c r="D13" s="721"/>
      <c r="E13" s="199">
        <v>0</v>
      </c>
      <c r="F13" s="697"/>
    </row>
    <row r="14" spans="2:6" hidden="1">
      <c r="B14" s="729"/>
      <c r="C14" s="719"/>
      <c r="D14" s="721"/>
      <c r="E14" s="200"/>
      <c r="F14" s="697"/>
    </row>
    <row r="15" spans="2:6" hidden="1">
      <c r="B15" s="729"/>
      <c r="C15" s="719"/>
      <c r="D15" s="721"/>
      <c r="E15" s="200"/>
      <c r="F15" s="697"/>
    </row>
    <row r="16" spans="2:6" hidden="1">
      <c r="B16" s="730"/>
      <c r="C16" s="861" t="s">
        <v>127</v>
      </c>
      <c r="D16" s="862"/>
      <c r="E16" s="68">
        <f>SUM(E11:E15)</f>
        <v>0</v>
      </c>
      <c r="F16" s="698"/>
    </row>
    <row r="17" spans="2:6">
      <c r="B17" s="728" t="s">
        <v>355</v>
      </c>
      <c r="C17" s="774" t="s">
        <v>39</v>
      </c>
      <c r="D17" s="774"/>
      <c r="E17" s="774"/>
      <c r="F17" s="774"/>
    </row>
    <row r="18" spans="2:6">
      <c r="B18" s="729"/>
      <c r="C18" s="719"/>
      <c r="D18" s="721"/>
      <c r="E18" s="227"/>
      <c r="F18" s="781">
        <f>ROUND(SUM(E18:E24),-3)</f>
        <v>0</v>
      </c>
    </row>
    <row r="19" spans="2:6">
      <c r="B19" s="729"/>
      <c r="C19" s="719" t="s">
        <v>533</v>
      </c>
      <c r="D19" s="721"/>
      <c r="E19" s="227"/>
      <c r="F19" s="781"/>
    </row>
    <row r="20" spans="2:6">
      <c r="B20" s="729"/>
      <c r="C20" s="719"/>
      <c r="D20" s="721"/>
      <c r="E20" s="227"/>
      <c r="F20" s="781"/>
    </row>
    <row r="21" spans="2:6">
      <c r="B21" s="729"/>
      <c r="C21" s="719"/>
      <c r="D21" s="721"/>
      <c r="E21" s="227"/>
      <c r="F21" s="781"/>
    </row>
    <row r="22" spans="2:6">
      <c r="B22" s="729"/>
      <c r="C22" s="719"/>
      <c r="D22" s="721"/>
      <c r="E22" s="227"/>
      <c r="F22" s="781"/>
    </row>
    <row r="23" spans="2:6">
      <c r="B23" s="729"/>
      <c r="C23" s="719"/>
      <c r="D23" s="721"/>
      <c r="E23" s="227"/>
      <c r="F23" s="781"/>
    </row>
    <row r="24" spans="2:6">
      <c r="B24" s="730"/>
      <c r="C24" s="719"/>
      <c r="D24" s="721"/>
      <c r="E24" s="227"/>
      <c r="F24" s="781"/>
    </row>
    <row r="25" spans="2:6">
      <c r="B25" s="728" t="s">
        <v>356</v>
      </c>
      <c r="C25" s="774" t="s">
        <v>23</v>
      </c>
      <c r="D25" s="774"/>
      <c r="E25" s="774"/>
      <c r="F25" s="774"/>
    </row>
    <row r="26" spans="2:6" ht="15" customHeight="1">
      <c r="B26" s="729"/>
      <c r="C26" s="719" t="s">
        <v>407</v>
      </c>
      <c r="D26" s="721"/>
      <c r="E26" s="200">
        <f>E3-E18</f>
        <v>0</v>
      </c>
      <c r="F26" s="778">
        <f>IF(E9&gt;0,E9-F18,0)</f>
        <v>0</v>
      </c>
    </row>
    <row r="27" spans="2:6" ht="15" customHeight="1">
      <c r="B27" s="729"/>
      <c r="C27" s="205"/>
      <c r="D27" s="206"/>
      <c r="E27" s="200"/>
      <c r="F27" s="779"/>
    </row>
    <row r="28" spans="2:6" ht="15" customHeight="1">
      <c r="B28" s="729"/>
      <c r="C28" s="205"/>
      <c r="D28" s="206"/>
      <c r="E28" s="200"/>
      <c r="F28" s="779"/>
    </row>
    <row r="29" spans="2:6" ht="15" customHeight="1">
      <c r="B29" s="729"/>
      <c r="C29" s="719"/>
      <c r="D29" s="721"/>
      <c r="E29" s="200"/>
      <c r="F29" s="779"/>
    </row>
    <row r="30" spans="2:6" ht="15" customHeight="1">
      <c r="B30" s="729"/>
      <c r="C30" s="719"/>
      <c r="D30" s="721"/>
      <c r="E30" s="200"/>
      <c r="F30" s="779"/>
    </row>
    <row r="31" spans="2:6" ht="15" customHeight="1">
      <c r="B31" s="730"/>
      <c r="C31" s="719"/>
      <c r="D31" s="721"/>
      <c r="E31" s="200"/>
      <c r="F31" s="780"/>
    </row>
    <row r="32" spans="2:6"/>
    <row r="33"/>
  </sheetData>
  <mergeCells count="35">
    <mergeCell ref="B1:F1"/>
    <mergeCell ref="C2:E2"/>
    <mergeCell ref="B2:B16"/>
    <mergeCell ref="F2:F16"/>
    <mergeCell ref="C10:E10"/>
    <mergeCell ref="C3:D3"/>
    <mergeCell ref="C4:D4"/>
    <mergeCell ref="C7:D7"/>
    <mergeCell ref="C8:D8"/>
    <mergeCell ref="C11:D11"/>
    <mergeCell ref="C13:D13"/>
    <mergeCell ref="C14:D14"/>
    <mergeCell ref="C15:D15"/>
    <mergeCell ref="C9:D9"/>
    <mergeCell ref="C5:D5"/>
    <mergeCell ref="C6:D6"/>
    <mergeCell ref="B25:B31"/>
    <mergeCell ref="C25:F25"/>
    <mergeCell ref="F26:F31"/>
    <mergeCell ref="C18:D18"/>
    <mergeCell ref="C21:D21"/>
    <mergeCell ref="C22:D22"/>
    <mergeCell ref="C23:D23"/>
    <mergeCell ref="C24:D24"/>
    <mergeCell ref="C26:D26"/>
    <mergeCell ref="C29:D29"/>
    <mergeCell ref="C30:D30"/>
    <mergeCell ref="C31:D31"/>
    <mergeCell ref="C12:D12"/>
    <mergeCell ref="C19:D19"/>
    <mergeCell ref="C20:D20"/>
    <mergeCell ref="B17:B24"/>
    <mergeCell ref="C17:F17"/>
    <mergeCell ref="F18:F24"/>
    <mergeCell ref="C16:D16"/>
  </mergeCells>
  <hyperlinks>
    <hyperlink ref="B2:B16" location="'FORMULARIO 210'!J35" display="Renglón 99" xr:uid="{00000000-0004-0000-0B00-000000000000}"/>
    <hyperlink ref="B17:B24" location="'FORMULARIO 210'!J36" display="Renglón 100" xr:uid="{00000000-0004-0000-0B00-000001000000}"/>
    <hyperlink ref="B25:B31" location="'FORMULARIO 210'!J38" display="Renglón 102" xr:uid="{00000000-0004-0000-0B00-000002000000}"/>
  </hyperlinks>
  <pageMargins left="0.7" right="0.7" top="0.75" bottom="0.75" header="0.3" footer="0.3"/>
  <pageSetup scale="5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0">
    <tabColor rgb="FF0070C0"/>
  </sheetPr>
  <dimension ref="A1:J47"/>
  <sheetViews>
    <sheetView showGridLines="0" defaultGridColor="0" colorId="57" zoomScale="240" zoomScaleNormal="240" zoomScaleSheetLayoutView="190" workbookViewId="0">
      <pane ySplit="1" topLeftCell="A2" activePane="bottomLeft" state="frozen"/>
      <selection pane="bottomLeft" activeCell="E6" sqref="E6"/>
    </sheetView>
  </sheetViews>
  <sheetFormatPr baseColWidth="10" defaultColWidth="0" defaultRowHeight="13" zeroHeight="1"/>
  <cols>
    <col min="1" max="1" width="4.1640625" style="168" customWidth="1"/>
    <col min="2" max="2" width="26.5" style="168" customWidth="1"/>
    <col min="3" max="3" width="20.5" style="171" customWidth="1"/>
    <col min="4" max="4" width="12.5" style="170" customWidth="1"/>
    <col min="5" max="5" width="11" style="172" customWidth="1"/>
    <col min="6" max="10" width="11" style="168" customWidth="1"/>
    <col min="11" max="13" width="11" style="168" hidden="1" customWidth="1"/>
    <col min="14" max="16384" width="11" style="168" hidden="1"/>
  </cols>
  <sheetData>
    <row r="1" spans="2:10" ht="14" thickBot="1">
      <c r="B1" s="167"/>
      <c r="C1" s="167"/>
      <c r="D1" s="167"/>
      <c r="E1" s="167"/>
      <c r="F1" s="167"/>
      <c r="G1" s="167"/>
      <c r="H1" s="167"/>
      <c r="I1" s="167"/>
      <c r="J1" s="167"/>
    </row>
    <row r="2" spans="2:10">
      <c r="B2" s="867" t="s">
        <v>66</v>
      </c>
      <c r="C2" s="868"/>
      <c r="D2" s="868"/>
      <c r="E2" s="869"/>
      <c r="F2" s="167"/>
      <c r="G2" s="167"/>
      <c r="H2" s="167"/>
      <c r="I2" s="167"/>
      <c r="J2" s="167"/>
    </row>
    <row r="3" spans="2:10">
      <c r="B3" s="870"/>
      <c r="C3" s="871"/>
      <c r="D3" s="871"/>
      <c r="E3" s="872"/>
      <c r="F3" s="167"/>
      <c r="G3" s="167"/>
      <c r="H3" s="167"/>
      <c r="I3" s="167"/>
      <c r="J3" s="167"/>
    </row>
    <row r="4" spans="2:10">
      <c r="B4" s="879" t="s">
        <v>807</v>
      </c>
      <c r="C4" s="880"/>
      <c r="D4" s="880"/>
      <c r="E4" s="318">
        <v>3430000000</v>
      </c>
      <c r="F4" s="167"/>
      <c r="G4" s="167"/>
      <c r="H4" s="167"/>
      <c r="I4" s="167"/>
      <c r="J4" s="167"/>
    </row>
    <row r="5" spans="2:10">
      <c r="B5" s="884" t="s">
        <v>0</v>
      </c>
      <c r="C5" s="885"/>
      <c r="D5" s="885"/>
      <c r="E5" s="251">
        <v>360000000</v>
      </c>
      <c r="F5" s="167"/>
      <c r="G5" s="167"/>
      <c r="H5" s="167"/>
      <c r="I5" s="167"/>
      <c r="J5" s="167"/>
    </row>
    <row r="6" spans="2:10">
      <c r="B6" s="886" t="s">
        <v>808</v>
      </c>
      <c r="C6" s="887"/>
      <c r="D6" s="888"/>
      <c r="E6" s="256">
        <f>(E4-E5)</f>
        <v>3070000000</v>
      </c>
      <c r="F6" s="167"/>
      <c r="G6" s="167"/>
      <c r="H6" s="167"/>
      <c r="I6" s="167"/>
      <c r="J6" s="167"/>
    </row>
    <row r="7" spans="2:10" hidden="1">
      <c r="B7" s="873" t="s">
        <v>17</v>
      </c>
      <c r="C7" s="874"/>
      <c r="D7" s="874"/>
      <c r="E7" s="889"/>
      <c r="F7" s="167"/>
      <c r="G7" s="167"/>
      <c r="H7" s="167"/>
      <c r="I7" s="167"/>
      <c r="J7" s="167"/>
    </row>
    <row r="8" spans="2:10" hidden="1">
      <c r="B8" s="881" t="s">
        <v>97</v>
      </c>
      <c r="C8" s="882"/>
      <c r="D8" s="883"/>
      <c r="E8" s="254">
        <f>IFERROR(E6/E4,0)</f>
        <v>0.89504373177842567</v>
      </c>
      <c r="F8" s="167"/>
      <c r="G8" s="167"/>
      <c r="H8" s="167"/>
      <c r="I8" s="167"/>
      <c r="J8" s="167"/>
    </row>
    <row r="9" spans="2:10" hidden="1">
      <c r="B9" s="881" t="s">
        <v>72</v>
      </c>
      <c r="C9" s="883"/>
      <c r="D9" s="252">
        <v>0</v>
      </c>
      <c r="E9" s="255">
        <f>D9*$E$8</f>
        <v>0</v>
      </c>
      <c r="F9" s="167"/>
      <c r="G9" s="167"/>
      <c r="H9" s="167"/>
      <c r="I9" s="167"/>
      <c r="J9" s="167"/>
    </row>
    <row r="10" spans="2:10" ht="23.25" hidden="1" customHeight="1">
      <c r="B10" s="881" t="s">
        <v>107</v>
      </c>
      <c r="C10" s="883"/>
      <c r="D10" s="252">
        <v>0</v>
      </c>
      <c r="E10" s="255">
        <f>D10*$E$8</f>
        <v>0</v>
      </c>
      <c r="F10" s="167"/>
      <c r="G10" s="167"/>
      <c r="H10" s="167"/>
      <c r="I10" s="167"/>
      <c r="J10" s="167"/>
    </row>
    <row r="11" spans="2:10" hidden="1">
      <c r="B11" s="881" t="s">
        <v>108</v>
      </c>
      <c r="C11" s="883"/>
      <c r="D11" s="252">
        <v>0</v>
      </c>
      <c r="E11" s="255">
        <f>D11*$E$8</f>
        <v>0</v>
      </c>
      <c r="F11" s="167"/>
      <c r="G11" s="167"/>
      <c r="H11" s="167"/>
      <c r="I11" s="167"/>
      <c r="J11" s="167"/>
    </row>
    <row r="12" spans="2:10" hidden="1">
      <c r="B12" s="881" t="s">
        <v>109</v>
      </c>
      <c r="C12" s="883"/>
      <c r="D12" s="252">
        <v>0</v>
      </c>
      <c r="E12" s="255">
        <f>IF(D12&gt;265248000,265248000,D12)</f>
        <v>0</v>
      </c>
      <c r="F12" s="167"/>
      <c r="G12" s="167"/>
      <c r="H12" s="167"/>
      <c r="I12" s="167"/>
      <c r="J12" s="167"/>
    </row>
    <row r="13" spans="2:10" hidden="1">
      <c r="B13" s="881" t="s">
        <v>110</v>
      </c>
      <c r="C13" s="883"/>
      <c r="D13" s="252"/>
      <c r="E13" s="255">
        <f>IF(D13&gt;605321000,605321000,D13)</f>
        <v>0</v>
      </c>
      <c r="F13" s="167"/>
      <c r="G13" s="167"/>
      <c r="H13" s="167"/>
      <c r="I13" s="167"/>
      <c r="J13" s="167"/>
    </row>
    <row r="14" spans="2:10" hidden="1">
      <c r="B14" s="876" t="s">
        <v>22</v>
      </c>
      <c r="C14" s="877"/>
      <c r="D14" s="878"/>
      <c r="E14" s="256">
        <f>E6-E9-E12</f>
        <v>3070000000</v>
      </c>
      <c r="F14" s="167"/>
      <c r="G14" s="167"/>
      <c r="H14" s="167"/>
      <c r="I14" s="167"/>
      <c r="J14" s="167"/>
    </row>
    <row r="15" spans="2:10" hidden="1">
      <c r="B15" s="873" t="s">
        <v>98</v>
      </c>
      <c r="C15" s="875"/>
      <c r="D15" s="173">
        <v>0</v>
      </c>
      <c r="E15" s="257">
        <f>ROUND((E14*D15),-3)</f>
        <v>0</v>
      </c>
      <c r="F15" s="167"/>
      <c r="G15" s="167"/>
      <c r="H15" s="167"/>
      <c r="I15" s="167"/>
      <c r="J15" s="167"/>
    </row>
    <row r="16" spans="2:10" hidden="1">
      <c r="B16" s="881" t="s">
        <v>208</v>
      </c>
      <c r="C16" s="882"/>
      <c r="D16" s="883"/>
      <c r="E16" s="180">
        <v>0</v>
      </c>
      <c r="F16" s="167"/>
      <c r="G16" s="167"/>
      <c r="H16" s="167"/>
      <c r="I16" s="167"/>
      <c r="J16" s="167"/>
    </row>
    <row r="17" spans="2:10" hidden="1">
      <c r="B17" s="873" t="s">
        <v>207</v>
      </c>
      <c r="C17" s="874"/>
      <c r="D17" s="875"/>
      <c r="E17" s="253">
        <f>ROUND(SUM(E15:E16),-3)</f>
        <v>0</v>
      </c>
      <c r="F17" s="167"/>
      <c r="G17" s="167"/>
      <c r="H17" s="167"/>
      <c r="I17" s="167"/>
      <c r="J17" s="167"/>
    </row>
    <row r="18" spans="2:10"/>
    <row r="19" spans="2:10"/>
    <row r="20" spans="2:10"/>
    <row r="21" spans="2:10"/>
    <row r="22" spans="2:10"/>
    <row r="23" spans="2:10"/>
    <row r="24" spans="2:10"/>
    <row r="25" spans="2:10"/>
    <row r="26" spans="2:10"/>
    <row r="27" spans="2:10"/>
    <row r="28" spans="2:10"/>
    <row r="29" spans="2:10"/>
    <row r="31" spans="2:10"/>
    <row r="32" spans="2:10"/>
    <row r="34"/>
    <row r="35"/>
    <row r="36"/>
    <row r="37"/>
    <row r="38"/>
    <row r="39"/>
    <row r="40"/>
    <row r="41"/>
    <row r="42"/>
    <row r="43"/>
    <row r="47"/>
  </sheetData>
  <mergeCells count="15">
    <mergeCell ref="B2:E3"/>
    <mergeCell ref="B17:D17"/>
    <mergeCell ref="B15:C15"/>
    <mergeCell ref="B14:D14"/>
    <mergeCell ref="B4:D4"/>
    <mergeCell ref="B8:D8"/>
    <mergeCell ref="B5:D5"/>
    <mergeCell ref="B6:D6"/>
    <mergeCell ref="B7:E7"/>
    <mergeCell ref="B13:C13"/>
    <mergeCell ref="B16:D16"/>
    <mergeCell ref="B9:C9"/>
    <mergeCell ref="B10:C10"/>
    <mergeCell ref="B11:C11"/>
    <mergeCell ref="B12:C12"/>
  </mergeCells>
  <phoneticPr fontId="0" type="noConversion"/>
  <hyperlinks>
    <hyperlink ref="B2:E3" location="'210'!AO16" display="RENTA PRESUNTIVA" xr:uid="{00000000-0004-0000-0D00-000000000000}"/>
  </hyperlinks>
  <printOptions horizontalCentered="1" verticalCentered="1"/>
  <pageMargins left="0" right="0" top="0" bottom="0" header="0" footer="0"/>
  <pageSetup scale="84" orientation="landscape"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tabColor rgb="FF0070C0"/>
  </sheetPr>
  <dimension ref="A1:J51"/>
  <sheetViews>
    <sheetView showGridLines="0" topLeftCell="B1" zoomScale="170" zoomScaleNormal="170" zoomScaleSheetLayoutView="182" workbookViewId="0">
      <pane ySplit="1" topLeftCell="A12" activePane="bottomLeft" state="frozen"/>
      <selection pane="bottomLeft" activeCell="E18" sqref="E18"/>
    </sheetView>
  </sheetViews>
  <sheetFormatPr baseColWidth="10" defaultColWidth="0" defaultRowHeight="16" zeroHeight="1"/>
  <cols>
    <col min="1" max="1" width="1.83203125" style="38" customWidth="1"/>
    <col min="2" max="2" width="6" style="38" customWidth="1"/>
    <col min="3" max="3" width="65.5" style="72" customWidth="1"/>
    <col min="4" max="4" width="15.5" style="72" customWidth="1"/>
    <col min="5" max="5" width="15.1640625" style="72" bestFit="1" customWidth="1"/>
    <col min="6" max="6" width="14.5" style="75" customWidth="1"/>
    <col min="7" max="7" width="12" style="38" customWidth="1"/>
    <col min="8" max="8" width="14" style="38" bestFit="1" customWidth="1"/>
    <col min="9" max="9" width="44.83203125" style="38" hidden="1" customWidth="1"/>
    <col min="10" max="10" width="12.5" style="38" hidden="1" customWidth="1"/>
    <col min="11" max="16384" width="11.5" style="38" hidden="1"/>
  </cols>
  <sheetData>
    <row r="1" spans="2:6" ht="18" customHeight="1">
      <c r="B1" s="891" t="s">
        <v>29</v>
      </c>
      <c r="C1" s="891"/>
      <c r="D1" s="891"/>
      <c r="E1" s="891"/>
      <c r="F1" s="891"/>
    </row>
    <row r="2" spans="2:6" ht="31.5" customHeight="1">
      <c r="B2" s="728" t="s">
        <v>358</v>
      </c>
      <c r="C2" s="892" t="s">
        <v>231</v>
      </c>
      <c r="D2" s="892"/>
      <c r="E2" s="892"/>
      <c r="F2" s="892"/>
    </row>
    <row r="3" spans="2:6">
      <c r="B3" s="729"/>
      <c r="C3" s="719"/>
      <c r="D3" s="721"/>
      <c r="E3" s="200"/>
      <c r="F3" s="801">
        <f>ROUND(SUM(E3:E9),-3)</f>
        <v>59000000</v>
      </c>
    </row>
    <row r="4" spans="2:6">
      <c r="B4" s="729"/>
      <c r="C4" s="719" t="s">
        <v>795</v>
      </c>
      <c r="D4" s="721"/>
      <c r="E4" s="200">
        <v>34000000</v>
      </c>
      <c r="F4" s="801"/>
    </row>
    <row r="5" spans="2:6">
      <c r="B5" s="729"/>
      <c r="C5" s="719" t="s">
        <v>796</v>
      </c>
      <c r="D5" s="721"/>
      <c r="E5" s="200">
        <v>25000000</v>
      </c>
      <c r="F5" s="801"/>
    </row>
    <row r="6" spans="2:6">
      <c r="B6" s="729"/>
      <c r="C6" s="719"/>
      <c r="D6" s="721"/>
      <c r="E6" s="200"/>
      <c r="F6" s="801"/>
    </row>
    <row r="7" spans="2:6">
      <c r="B7" s="729"/>
      <c r="C7" s="719"/>
      <c r="D7" s="721"/>
      <c r="E7" s="200"/>
      <c r="F7" s="801"/>
    </row>
    <row r="8" spans="2:6">
      <c r="B8" s="729"/>
      <c r="C8" s="719"/>
      <c r="D8" s="721"/>
      <c r="E8" s="200"/>
      <c r="F8" s="801"/>
    </row>
    <row r="9" spans="2:6">
      <c r="B9" s="730"/>
      <c r="C9" s="719"/>
      <c r="D9" s="721"/>
      <c r="E9" s="200"/>
      <c r="F9" s="801"/>
    </row>
    <row r="10" spans="2:6">
      <c r="B10" s="728" t="s">
        <v>359</v>
      </c>
      <c r="C10" s="774" t="s">
        <v>39</v>
      </c>
      <c r="D10" s="774"/>
      <c r="E10" s="774"/>
      <c r="F10" s="774"/>
    </row>
    <row r="11" spans="2:6">
      <c r="B11" s="729"/>
      <c r="C11" s="719"/>
      <c r="D11" s="721"/>
      <c r="E11" s="200"/>
      <c r="F11" s="801">
        <f>ROUND(SUM(E11:E15),-3)</f>
        <v>34000000</v>
      </c>
    </row>
    <row r="12" spans="2:6">
      <c r="B12" s="729"/>
      <c r="C12" s="719" t="s">
        <v>795</v>
      </c>
      <c r="D12" s="721"/>
      <c r="E12" s="200">
        <f>E4</f>
        <v>34000000</v>
      </c>
      <c r="F12" s="801"/>
    </row>
    <row r="13" spans="2:6">
      <c r="B13" s="729"/>
      <c r="C13" s="719"/>
      <c r="D13" s="721"/>
      <c r="E13" s="200"/>
      <c r="F13" s="801"/>
    </row>
    <row r="14" spans="2:6">
      <c r="B14" s="729"/>
      <c r="C14" s="719"/>
      <c r="D14" s="721"/>
      <c r="E14" s="200"/>
      <c r="F14" s="801"/>
    </row>
    <row r="15" spans="2:6">
      <c r="B15" s="730"/>
      <c r="C15" s="719"/>
      <c r="D15" s="721"/>
      <c r="E15" s="200"/>
      <c r="F15" s="801"/>
    </row>
    <row r="16" spans="2:6">
      <c r="B16" s="728" t="s">
        <v>360</v>
      </c>
      <c r="C16" s="774" t="s">
        <v>232</v>
      </c>
      <c r="D16" s="774"/>
      <c r="E16" s="774"/>
      <c r="F16" s="774"/>
    </row>
    <row r="17" spans="2:6">
      <c r="B17" s="729"/>
      <c r="C17" s="893"/>
      <c r="D17" s="894"/>
      <c r="E17" s="200"/>
      <c r="F17" s="343">
        <f>ROUND(SUM(E17:E23),-3)</f>
        <v>50000000</v>
      </c>
    </row>
    <row r="18" spans="2:6">
      <c r="B18" s="729"/>
      <c r="C18" s="719" t="s">
        <v>795</v>
      </c>
      <c r="D18" s="721"/>
      <c r="E18" s="313">
        <v>50000000</v>
      </c>
      <c r="F18" s="344"/>
    </row>
    <row r="19" spans="2:6">
      <c r="B19" s="729"/>
      <c r="C19" s="893"/>
      <c r="D19" s="894"/>
      <c r="E19" s="200"/>
      <c r="F19" s="344"/>
    </row>
    <row r="20" spans="2:6">
      <c r="B20" s="729"/>
      <c r="C20" s="893"/>
      <c r="D20" s="894"/>
      <c r="E20" s="200"/>
      <c r="F20" s="344"/>
    </row>
    <row r="21" spans="2:6">
      <c r="B21" s="729"/>
      <c r="C21" s="893"/>
      <c r="D21" s="894"/>
      <c r="E21" s="200"/>
      <c r="F21" s="344"/>
    </row>
    <row r="22" spans="2:6">
      <c r="B22" s="729"/>
      <c r="C22" s="893"/>
      <c r="D22" s="894"/>
      <c r="E22" s="200"/>
      <c r="F22" s="344"/>
    </row>
    <row r="23" spans="2:6">
      <c r="B23" s="730"/>
      <c r="C23" s="893"/>
      <c r="D23" s="894"/>
      <c r="E23" s="200"/>
      <c r="F23" s="344"/>
    </row>
    <row r="24" spans="2:6">
      <c r="B24" s="728" t="s">
        <v>361</v>
      </c>
      <c r="C24" s="774" t="s">
        <v>192</v>
      </c>
      <c r="D24" s="774"/>
      <c r="E24" s="774"/>
      <c r="F24" s="774"/>
    </row>
    <row r="25" spans="2:6">
      <c r="B25" s="729"/>
      <c r="C25" s="893"/>
      <c r="D25" s="894"/>
      <c r="E25" s="200"/>
      <c r="F25" s="343">
        <f>ROUND(SUM(E25:E31),-3)</f>
        <v>43000000</v>
      </c>
    </row>
    <row r="26" spans="2:6">
      <c r="B26" s="729"/>
      <c r="C26" s="719" t="s">
        <v>796</v>
      </c>
      <c r="D26" s="721"/>
      <c r="E26" s="200">
        <v>43000000</v>
      </c>
      <c r="F26" s="343"/>
    </row>
    <row r="27" spans="2:6">
      <c r="B27" s="729"/>
      <c r="C27" s="719"/>
      <c r="D27" s="721"/>
      <c r="E27" s="228"/>
      <c r="F27" s="343"/>
    </row>
    <row r="28" spans="2:6">
      <c r="B28" s="729"/>
      <c r="C28" s="719"/>
      <c r="D28" s="721"/>
      <c r="E28" s="200"/>
      <c r="F28" s="343"/>
    </row>
    <row r="29" spans="2:6">
      <c r="B29" s="729"/>
      <c r="C29" s="719"/>
      <c r="D29" s="721"/>
      <c r="E29" s="200"/>
      <c r="F29" s="343"/>
    </row>
    <row r="30" spans="2:6">
      <c r="B30" s="729"/>
      <c r="C30" s="719"/>
      <c r="D30" s="721"/>
      <c r="E30" s="200"/>
      <c r="F30" s="343"/>
    </row>
    <row r="31" spans="2:6">
      <c r="B31" s="730"/>
      <c r="C31" s="719"/>
      <c r="D31" s="721"/>
      <c r="E31" s="200"/>
      <c r="F31" s="343"/>
    </row>
    <row r="32" spans="2:6">
      <c r="B32" s="728" t="s">
        <v>362</v>
      </c>
      <c r="C32" s="774" t="s">
        <v>134</v>
      </c>
      <c r="D32" s="774"/>
      <c r="E32" s="774"/>
      <c r="F32" s="774"/>
    </row>
    <row r="33" spans="2:6">
      <c r="B33" s="729"/>
      <c r="C33" s="748"/>
      <c r="D33" s="750"/>
      <c r="E33" s="200"/>
      <c r="F33" s="890">
        <f>ROUND(SUM(E33:E39),-3)</f>
        <v>0</v>
      </c>
    </row>
    <row r="34" spans="2:6">
      <c r="B34" s="729"/>
      <c r="C34" s="748"/>
      <c r="D34" s="750"/>
      <c r="E34" s="200"/>
      <c r="F34" s="890"/>
    </row>
    <row r="35" spans="2:6">
      <c r="B35" s="729"/>
      <c r="C35" s="748"/>
      <c r="D35" s="750"/>
      <c r="E35" s="200"/>
      <c r="F35" s="890"/>
    </row>
    <row r="36" spans="2:6">
      <c r="B36" s="729"/>
      <c r="C36" s="748"/>
      <c r="D36" s="750"/>
      <c r="E36" s="200"/>
      <c r="F36" s="890"/>
    </row>
    <row r="37" spans="2:6">
      <c r="B37" s="729"/>
      <c r="C37" s="748"/>
      <c r="D37" s="750"/>
      <c r="E37" s="200"/>
      <c r="F37" s="890"/>
    </row>
    <row r="38" spans="2:6">
      <c r="B38" s="729"/>
      <c r="C38" s="748"/>
      <c r="D38" s="750"/>
      <c r="E38" s="200"/>
      <c r="F38" s="890"/>
    </row>
    <row r="39" spans="2:6">
      <c r="B39" s="730"/>
      <c r="C39" s="748"/>
      <c r="D39" s="750"/>
      <c r="E39" s="200"/>
      <c r="F39" s="890"/>
    </row>
    <row r="40" spans="2:6">
      <c r="B40" s="728" t="s">
        <v>363</v>
      </c>
      <c r="C40" s="774" t="s">
        <v>468</v>
      </c>
      <c r="D40" s="774"/>
      <c r="E40" s="774"/>
      <c r="F40" s="774"/>
    </row>
    <row r="41" spans="2:6">
      <c r="B41" s="729"/>
      <c r="C41" s="748"/>
      <c r="D41" s="750"/>
      <c r="E41" s="200"/>
      <c r="F41" s="890">
        <f>ROUND(SUM(E41:E47),-3)</f>
        <v>0</v>
      </c>
    </row>
    <row r="42" spans="2:6">
      <c r="B42" s="729"/>
      <c r="C42" s="748"/>
      <c r="D42" s="750"/>
      <c r="E42" s="200"/>
      <c r="F42" s="890"/>
    </row>
    <row r="43" spans="2:6">
      <c r="B43" s="729"/>
      <c r="C43" s="748"/>
      <c r="D43" s="750"/>
      <c r="E43" s="200"/>
      <c r="F43" s="890"/>
    </row>
    <row r="44" spans="2:6">
      <c r="B44" s="729"/>
      <c r="C44" s="748"/>
      <c r="D44" s="750"/>
      <c r="E44" s="200"/>
      <c r="F44" s="890"/>
    </row>
    <row r="45" spans="2:6">
      <c r="B45" s="729"/>
      <c r="C45" s="748"/>
      <c r="D45" s="750"/>
      <c r="E45" s="200"/>
      <c r="F45" s="890"/>
    </row>
    <row r="46" spans="2:6">
      <c r="B46" s="729"/>
      <c r="C46" s="748"/>
      <c r="D46" s="750"/>
      <c r="E46" s="200"/>
      <c r="F46" s="890"/>
    </row>
    <row r="47" spans="2:6">
      <c r="B47" s="730"/>
      <c r="C47" s="748"/>
      <c r="D47" s="750"/>
      <c r="E47" s="200"/>
      <c r="F47" s="890"/>
    </row>
    <row r="48" spans="2:6"/>
    <row r="49"/>
    <row r="50"/>
    <row r="51"/>
  </sheetData>
  <mergeCells count="57">
    <mergeCell ref="C47:D47"/>
    <mergeCell ref="C42:D42"/>
    <mergeCell ref="C43:D43"/>
    <mergeCell ref="C44:D44"/>
    <mergeCell ref="C45:D45"/>
    <mergeCell ref="C46:D46"/>
    <mergeCell ref="C13:D13"/>
    <mergeCell ref="C14:D14"/>
    <mergeCell ref="C15:D15"/>
    <mergeCell ref="C17:D17"/>
    <mergeCell ref="C18:D18"/>
    <mergeCell ref="B16:B23"/>
    <mergeCell ref="C32:F32"/>
    <mergeCell ref="F33:F39"/>
    <mergeCell ref="C24:F24"/>
    <mergeCell ref="C16:F16"/>
    <mergeCell ref="C19:D19"/>
    <mergeCell ref="C20:D20"/>
    <mergeCell ref="C21:D21"/>
    <mergeCell ref="C22:D22"/>
    <mergeCell ref="C23:D23"/>
    <mergeCell ref="C25:D25"/>
    <mergeCell ref="C26:D26"/>
    <mergeCell ref="C27:D27"/>
    <mergeCell ref="C28:D28"/>
    <mergeCell ref="C10:F10"/>
    <mergeCell ref="F11:F15"/>
    <mergeCell ref="B1:F1"/>
    <mergeCell ref="C2:F2"/>
    <mergeCell ref="F3:F9"/>
    <mergeCell ref="B2:B9"/>
    <mergeCell ref="B10:B15"/>
    <mergeCell ref="C3:D3"/>
    <mergeCell ref="C4:D4"/>
    <mergeCell ref="C5:D5"/>
    <mergeCell ref="C6:D6"/>
    <mergeCell ref="C7:D7"/>
    <mergeCell ref="C8:D8"/>
    <mergeCell ref="C9:D9"/>
    <mergeCell ref="C11:D11"/>
    <mergeCell ref="C12:D12"/>
    <mergeCell ref="B40:B47"/>
    <mergeCell ref="C40:F40"/>
    <mergeCell ref="F41:F47"/>
    <mergeCell ref="B24:B31"/>
    <mergeCell ref="B32:B39"/>
    <mergeCell ref="C29:D29"/>
    <mergeCell ref="C30:D30"/>
    <mergeCell ref="C31:D31"/>
    <mergeCell ref="C33:D33"/>
    <mergeCell ref="C34:D34"/>
    <mergeCell ref="C35:D35"/>
    <mergeCell ref="C36:D36"/>
    <mergeCell ref="C37:D37"/>
    <mergeCell ref="C38:D38"/>
    <mergeCell ref="C39:D39"/>
    <mergeCell ref="C41:D41"/>
  </mergeCells>
  <hyperlinks>
    <hyperlink ref="B2:B9" location="'FORMULARIO 210'!J40" display="Renglon 104" xr:uid="{00000000-0004-0000-0C00-000000000000}"/>
    <hyperlink ref="B10:B15" location="'FORMULARIO 210'!J41" display="Renglon 105" xr:uid="{00000000-0004-0000-0C00-000001000000}"/>
    <hyperlink ref="B16:B23" location="'FORMULARIO 210'!J43" display="Renglon 107" xr:uid="{00000000-0004-0000-0C00-000002000000}"/>
    <hyperlink ref="B24:B31" location="'FORMULARIO 210'!J44" display="Renglon 108" xr:uid="{00000000-0004-0000-0C00-000003000000}"/>
    <hyperlink ref="B32:B39" location="'FORMULARIO 210'!J45" display="Renglon 109" xr:uid="{00000000-0004-0000-0C00-000004000000}"/>
    <hyperlink ref="B40:B47" location="'FORMULARIO 210'!J46" display="Renglon 110" xr:uid="{00000000-0004-0000-0C00-000005000000}"/>
  </hyperlinks>
  <pageMargins left="0.7" right="0.7" top="0.75" bottom="0.75" header="0.3" footer="0.3"/>
  <pageSetup scale="6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5">
    <tabColor rgb="FFFF0000"/>
  </sheetPr>
  <dimension ref="A2:J52"/>
  <sheetViews>
    <sheetView showGridLines="0" defaultGridColor="0" view="pageBreakPreview" colorId="57" zoomScale="110" zoomScaleNormal="109" zoomScaleSheetLayoutView="110" workbookViewId="0">
      <selection activeCell="E3" sqref="E3"/>
    </sheetView>
  </sheetViews>
  <sheetFormatPr baseColWidth="10" defaultColWidth="11" defaultRowHeight="13"/>
  <cols>
    <col min="1" max="1" width="12.83203125" style="4" customWidth="1"/>
    <col min="2" max="2" width="11.5" style="4" customWidth="1"/>
    <col min="3" max="3" width="17.1640625" style="4" customWidth="1"/>
    <col min="4" max="4" width="23.83203125" style="4" customWidth="1"/>
    <col min="5" max="5" width="25.5" style="4" customWidth="1"/>
    <col min="6" max="6" width="47.5" style="4" customWidth="1"/>
    <col min="7" max="7" width="16.83203125" style="4" customWidth="1"/>
    <col min="8" max="8" width="14.5" style="4" bestFit="1" customWidth="1"/>
    <col min="9" max="9" width="13.83203125" style="4" bestFit="1" customWidth="1"/>
    <col min="10" max="10" width="11.5" style="4" bestFit="1" customWidth="1"/>
    <col min="11" max="16384" width="11" style="4"/>
  </cols>
  <sheetData>
    <row r="2" spans="1:10" ht="14">
      <c r="A2" s="924" t="s">
        <v>519</v>
      </c>
      <c r="B2" s="924"/>
      <c r="C2" s="924"/>
      <c r="D2" s="924"/>
      <c r="E2" s="102">
        <v>47065</v>
      </c>
      <c r="H2" s="108" t="s">
        <v>466</v>
      </c>
      <c r="I2" s="342">
        <f>'FORMULARIO 210'!J46</f>
        <v>432584000</v>
      </c>
    </row>
    <row r="3" spans="1:10" ht="14">
      <c r="H3" s="4" t="s">
        <v>10</v>
      </c>
      <c r="I3" s="123">
        <f>'FORMULARIO 210'!AA33</f>
        <v>0</v>
      </c>
    </row>
    <row r="4" spans="1:10" ht="28">
      <c r="H4" s="4" t="s">
        <v>465</v>
      </c>
      <c r="I4" s="123">
        <f>'FORMULARIO 210'!J38</f>
        <v>0</v>
      </c>
    </row>
    <row r="5" spans="1:10" ht="14">
      <c r="H5" s="108" t="s">
        <v>143</v>
      </c>
      <c r="I5" s="315">
        <f>SUM(I3:I4)</f>
        <v>0</v>
      </c>
    </row>
    <row r="6" spans="1:10" ht="17" thickBot="1">
      <c r="A6" s="26"/>
      <c r="B6" s="26"/>
      <c r="C6" s="26"/>
      <c r="D6" s="26"/>
      <c r="E6" s="103"/>
    </row>
    <row r="7" spans="1:10" ht="15">
      <c r="A7" s="688" t="s">
        <v>193</v>
      </c>
      <c r="B7" s="689"/>
      <c r="C7" s="689" t="s">
        <v>193</v>
      </c>
      <c r="D7" s="689"/>
      <c r="E7" s="684" t="s">
        <v>194</v>
      </c>
      <c r="F7" s="684" t="s">
        <v>195</v>
      </c>
      <c r="G7" s="684" t="s">
        <v>206</v>
      </c>
      <c r="H7" s="686" t="s">
        <v>196</v>
      </c>
      <c r="I7" s="930" t="s">
        <v>213</v>
      </c>
      <c r="J7" s="932" t="s">
        <v>196</v>
      </c>
    </row>
    <row r="8" spans="1:10" ht="15" customHeight="1">
      <c r="A8" s="57" t="s">
        <v>197</v>
      </c>
      <c r="B8" s="58" t="s">
        <v>197</v>
      </c>
      <c r="C8" s="58" t="s">
        <v>198</v>
      </c>
      <c r="D8" s="58"/>
      <c r="E8" s="685"/>
      <c r="F8" s="685"/>
      <c r="G8" s="685"/>
      <c r="H8" s="687"/>
      <c r="I8" s="931"/>
      <c r="J8" s="933"/>
    </row>
    <row r="9" spans="1:10" ht="15">
      <c r="A9" s="104">
        <v>0</v>
      </c>
      <c r="B9" s="104">
        <v>1090</v>
      </c>
      <c r="C9" s="104">
        <f>A9*$E$2</f>
        <v>0</v>
      </c>
      <c r="D9" s="104">
        <f t="shared" ref="D9:D14" si="0">B9*$E$2</f>
        <v>51300850</v>
      </c>
      <c r="E9" s="105">
        <v>0</v>
      </c>
      <c r="F9" s="47">
        <v>0</v>
      </c>
      <c r="G9" s="314">
        <f>'FORMULARIO 210'!J46</f>
        <v>432584000</v>
      </c>
      <c r="H9" s="104">
        <v>0</v>
      </c>
      <c r="I9" s="314">
        <f>IF(I5&gt;I2,I5,0)</f>
        <v>0</v>
      </c>
      <c r="J9" s="62">
        <v>0</v>
      </c>
    </row>
    <row r="10" spans="1:10" ht="15">
      <c r="A10" s="104">
        <f t="shared" ref="A10:A15" si="1">B9+1</f>
        <v>1091</v>
      </c>
      <c r="B10" s="104">
        <v>1700</v>
      </c>
      <c r="C10" s="104">
        <f>A10*$E$2</f>
        <v>51347915</v>
      </c>
      <c r="D10" s="104">
        <f t="shared" si="0"/>
        <v>80010500</v>
      </c>
      <c r="E10" s="105">
        <v>0.19</v>
      </c>
      <c r="F10" s="47" t="s">
        <v>199</v>
      </c>
      <c r="G10" s="314">
        <f>$G$9</f>
        <v>432584000</v>
      </c>
      <c r="H10" s="104">
        <f>(((G10/$E$2)-1090)*19%)*E2</f>
        <v>72443798.500000015</v>
      </c>
      <c r="I10" s="314">
        <f>$I$9</f>
        <v>0</v>
      </c>
      <c r="J10" s="314">
        <f>(((I10/$E$2)-1090)*19%)*E2</f>
        <v>-9747161.5</v>
      </c>
    </row>
    <row r="11" spans="1:10" ht="15">
      <c r="A11" s="104">
        <f t="shared" si="1"/>
        <v>1701</v>
      </c>
      <c r="B11" s="104">
        <v>4100</v>
      </c>
      <c r="C11" s="104">
        <f t="shared" ref="C11:C15" si="2">A11*$E$2</f>
        <v>80057565</v>
      </c>
      <c r="D11" s="104">
        <f t="shared" si="0"/>
        <v>192966500</v>
      </c>
      <c r="E11" s="105">
        <v>0.28000000000000003</v>
      </c>
      <c r="F11" s="47" t="s">
        <v>200</v>
      </c>
      <c r="G11" s="314">
        <f t="shared" ref="G11:G15" si="3">$G$9</f>
        <v>432584000</v>
      </c>
      <c r="H11" s="104">
        <f>((((G11/$E$2)-1700)*28%)+116)*$E$2</f>
        <v>104180120</v>
      </c>
      <c r="I11" s="314">
        <f t="shared" ref="I11:I15" si="4">$I$9</f>
        <v>0</v>
      </c>
      <c r="J11" s="314">
        <f>((((I11/$E$2)-1700)*28%)+116)*$E$2</f>
        <v>-16943400.000000004</v>
      </c>
    </row>
    <row r="12" spans="1:10" ht="15">
      <c r="A12" s="104">
        <f t="shared" si="1"/>
        <v>4101</v>
      </c>
      <c r="B12" s="104">
        <v>8670</v>
      </c>
      <c r="C12" s="104">
        <f t="shared" si="2"/>
        <v>193013565</v>
      </c>
      <c r="D12" s="104">
        <f t="shared" si="0"/>
        <v>408053550</v>
      </c>
      <c r="E12" s="105">
        <v>0.33</v>
      </c>
      <c r="F12" s="47" t="s">
        <v>201</v>
      </c>
      <c r="G12" s="314">
        <f t="shared" si="3"/>
        <v>432584000</v>
      </c>
      <c r="H12" s="104">
        <f>((((G12/$E$2)-4100)*33%)+788)*$E$2</f>
        <v>116160995.00000001</v>
      </c>
      <c r="I12" s="314">
        <f t="shared" si="4"/>
        <v>0</v>
      </c>
      <c r="J12" s="314">
        <f>((((I12/$E$2)-4100)*33%)+788)*$E$2</f>
        <v>-26591725</v>
      </c>
    </row>
    <row r="13" spans="1:10" ht="15">
      <c r="A13" s="104">
        <f t="shared" si="1"/>
        <v>8671</v>
      </c>
      <c r="B13" s="104">
        <v>18970</v>
      </c>
      <c r="C13" s="104">
        <f t="shared" si="2"/>
        <v>408100615</v>
      </c>
      <c r="D13" s="104">
        <f t="shared" si="0"/>
        <v>892823050</v>
      </c>
      <c r="E13" s="105">
        <v>0.35</v>
      </c>
      <c r="F13" s="47" t="s">
        <v>202</v>
      </c>
      <c r="G13" s="314">
        <f t="shared" si="3"/>
        <v>432584000</v>
      </c>
      <c r="H13" s="104">
        <f>((((G13/$E$2)-8670)*35%)+2296)*$E$2</f>
        <v>116646897.50000001</v>
      </c>
      <c r="I13" s="314">
        <f t="shared" si="4"/>
        <v>0</v>
      </c>
      <c r="J13" s="314">
        <f>((((I13/$E$2)-8670)*35%)+2296)*$E$2</f>
        <v>-34757502.5</v>
      </c>
    </row>
    <row r="14" spans="1:10" ht="15">
      <c r="A14" s="104">
        <f t="shared" si="1"/>
        <v>18971</v>
      </c>
      <c r="B14" s="104">
        <v>31000</v>
      </c>
      <c r="C14" s="104">
        <f t="shared" si="2"/>
        <v>892870115</v>
      </c>
      <c r="D14" s="104">
        <f t="shared" si="0"/>
        <v>1459015000</v>
      </c>
      <c r="E14" s="105">
        <v>0.37</v>
      </c>
      <c r="F14" s="47" t="s">
        <v>203</v>
      </c>
      <c r="G14" s="314">
        <f t="shared" si="3"/>
        <v>432584000</v>
      </c>
      <c r="H14" s="104">
        <f>((((G14/$E$2)-18970)*37%)+5901)*$E$2</f>
        <v>107442116.5</v>
      </c>
      <c r="I14" s="314">
        <f t="shared" si="4"/>
        <v>0</v>
      </c>
      <c r="J14" s="314">
        <f>((((I14/$E$2)-18970)*37%)+5901)*$E$2</f>
        <v>-52613963.499999985</v>
      </c>
    </row>
    <row r="15" spans="1:10" ht="15">
      <c r="A15" s="104">
        <f t="shared" si="1"/>
        <v>31001</v>
      </c>
      <c r="B15" s="104" t="s">
        <v>204</v>
      </c>
      <c r="C15" s="104">
        <f t="shared" si="2"/>
        <v>1459062065</v>
      </c>
      <c r="D15" s="104">
        <v>9999999999</v>
      </c>
      <c r="E15" s="105">
        <v>0.39</v>
      </c>
      <c r="F15" s="47" t="s">
        <v>205</v>
      </c>
      <c r="G15" s="314">
        <f t="shared" si="3"/>
        <v>432584000</v>
      </c>
      <c r="H15" s="104">
        <f>((((G15/$E$2)-31000)*39%)+10352)*$E$2</f>
        <v>86908790.000000015</v>
      </c>
      <c r="I15" s="314">
        <f t="shared" si="4"/>
        <v>0</v>
      </c>
      <c r="J15" s="314">
        <f>((((I15/$E$2)-31000)*39%)+10352)*$E$2</f>
        <v>-81798970</v>
      </c>
    </row>
    <row r="16" spans="1:10" ht="17" thickBot="1">
      <c r="A16" s="26"/>
      <c r="B16" s="26"/>
      <c r="C16" s="26"/>
      <c r="D16" s="26"/>
      <c r="E16" s="103"/>
    </row>
    <row r="17" spans="1:9" ht="14" customHeight="1">
      <c r="A17" s="928" t="s">
        <v>224</v>
      </c>
      <c r="B17" s="928"/>
      <c r="C17" s="928"/>
      <c r="D17" s="929"/>
      <c r="E17" s="29">
        <f>ROUND(IF(AND('impto renta'!G9&gt;'impto renta'!C9,'impto renta'!G9&lt;'impto renta'!D9),'impto renta'!H9,IF(AND('impto renta'!G10&gt;'impto renta'!C10,'impto renta'!G10&lt;'impto renta'!D10),'impto renta'!H10,IF(AND('impto renta'!G11&gt;'impto renta'!C11,'impto renta'!G11&lt;'impto renta'!D11),'impto renta'!H11,IF(AND('impto renta'!G12&gt;'impto renta'!C12,'impto renta'!G12&lt;'impto renta'!D12),'impto renta'!H12,IF(AND('impto renta'!G13&gt;'impto renta'!C13,'impto renta'!G13&lt;'impto renta'!D13),'impto renta'!H13,IF(AND('impto renta'!G14&gt;'impto renta'!C14,'impto renta'!G14&lt;'impto renta'!D14),'impto renta'!H14,IF(AND('impto renta'!G15&gt;'impto renta'!C15,'impto renta'!G15&lt;'impto renta'!D15),'impto renta'!H15,0))))))),-3)</f>
        <v>116647000</v>
      </c>
    </row>
    <row r="18" spans="1:9" ht="14" customHeight="1" thickBot="1">
      <c r="A18" s="922" t="s">
        <v>225</v>
      </c>
      <c r="B18" s="922"/>
      <c r="C18" s="922"/>
      <c r="D18" s="923"/>
      <c r="E18" s="106">
        <f>ROUND(IF(AND('impto renta'!I9&gt;'impto renta'!C9,'impto renta'!I9&lt;'impto renta'!D9),'impto renta'!J9,IF(AND('impto renta'!I10&gt;'impto renta'!C10,'impto renta'!I10&lt;'impto renta'!D10),'impto renta'!J10,IF(AND('impto renta'!I11&gt;'impto renta'!C11,'impto renta'!I11&lt;'impto renta'!D11),'impto renta'!J11,IF(AND('impto renta'!I12&gt;'impto renta'!C12,'impto renta'!I12&lt;'impto renta'!D12),'impto renta'!J12,IF(AND('impto renta'!I13&gt;'impto renta'!C13,'impto renta'!I13&lt;'impto renta'!D13),'impto renta'!J13,IF(AND('impto renta'!I14&gt;'impto renta'!C14,'impto renta'!I14&lt;'impto renta'!D14),'impto renta'!J14,IF(AND('impto renta'!I15&gt;'impto renta'!C15,'impto renta'!I15&lt;'impto renta'!D15),'impto renta'!J15,0))))))),-3)</f>
        <v>0</v>
      </c>
    </row>
    <row r="19" spans="1:9" ht="16">
      <c r="A19" s="26"/>
      <c r="B19" s="26"/>
      <c r="C19" s="26"/>
      <c r="D19" s="26"/>
      <c r="E19" s="103"/>
      <c r="F19" s="103"/>
      <c r="G19" s="103"/>
    </row>
    <row r="20" spans="1:9" ht="16">
      <c r="A20" s="26"/>
      <c r="B20" s="26"/>
      <c r="C20" s="26"/>
      <c r="D20" s="26"/>
      <c r="E20" s="103"/>
      <c r="F20" s="103"/>
      <c r="G20" s="103"/>
    </row>
    <row r="21" spans="1:9" ht="16">
      <c r="A21" s="26"/>
      <c r="B21" s="26"/>
      <c r="C21" s="26"/>
      <c r="D21" s="26"/>
      <c r="E21" s="103"/>
      <c r="F21" s="103"/>
      <c r="G21" s="103"/>
    </row>
    <row r="22" spans="1:9" ht="16">
      <c r="A22" s="26"/>
      <c r="B22" s="26"/>
      <c r="C22" s="26"/>
      <c r="D22" s="26"/>
      <c r="E22" s="103"/>
    </row>
    <row r="23" spans="1:9" ht="24" customHeight="1" thickBot="1">
      <c r="A23" s="927" t="s">
        <v>210</v>
      </c>
      <c r="B23" s="927"/>
      <c r="C23" s="927"/>
      <c r="D23" s="927"/>
      <c r="E23" s="927"/>
      <c r="F23" s="927"/>
    </row>
    <row r="24" spans="1:9" ht="16">
      <c r="A24" s="925" t="s">
        <v>99</v>
      </c>
      <c r="B24" s="925"/>
      <c r="C24" s="925"/>
      <c r="D24" s="926"/>
      <c r="E24" s="30">
        <f>'FORMULARIO 210'!J41</f>
        <v>25000000</v>
      </c>
    </row>
    <row r="25" spans="1:9" ht="16">
      <c r="A25" s="898" t="s">
        <v>50</v>
      </c>
      <c r="B25" s="898"/>
      <c r="C25" s="898"/>
      <c r="D25" s="899"/>
      <c r="E25" s="31">
        <f>E24/$E$2</f>
        <v>531.18028258791037</v>
      </c>
    </row>
    <row r="26" spans="1:9" ht="17" thickBot="1">
      <c r="A26" s="915" t="s">
        <v>115</v>
      </c>
      <c r="B26" s="915"/>
      <c r="C26" s="915"/>
      <c r="D26" s="916"/>
      <c r="E26" s="107">
        <f>MAX(E31:E34)</f>
        <v>0</v>
      </c>
    </row>
    <row r="27" spans="1:9" ht="16">
      <c r="A27" s="26"/>
      <c r="B27" s="26"/>
      <c r="C27" s="26"/>
      <c r="D27" s="26"/>
      <c r="E27" s="103"/>
    </row>
    <row r="28" spans="1:9">
      <c r="F28" s="108"/>
      <c r="H28" s="108"/>
      <c r="I28" s="108"/>
    </row>
    <row r="29" spans="1:9" ht="19.5" customHeight="1">
      <c r="A29" s="919" t="s">
        <v>2</v>
      </c>
      <c r="B29" s="920"/>
      <c r="C29" s="921" t="s">
        <v>15</v>
      </c>
      <c r="D29" s="920" t="s">
        <v>5</v>
      </c>
      <c r="E29" s="917" t="s">
        <v>226</v>
      </c>
      <c r="F29" s="108"/>
      <c r="G29" s="108"/>
      <c r="H29" s="108"/>
      <c r="I29" s="108"/>
    </row>
    <row r="30" spans="1:9" ht="19.5" customHeight="1">
      <c r="A30" s="109" t="s">
        <v>3</v>
      </c>
      <c r="B30" s="110" t="s">
        <v>4</v>
      </c>
      <c r="C30" s="921"/>
      <c r="D30" s="920"/>
      <c r="E30" s="918"/>
      <c r="F30" s="108"/>
      <c r="G30" s="108"/>
      <c r="H30" s="108"/>
      <c r="I30" s="108"/>
    </row>
    <row r="31" spans="1:9" ht="14">
      <c r="A31" s="111" t="s">
        <v>6</v>
      </c>
      <c r="B31" s="112">
        <v>1090</v>
      </c>
      <c r="C31" s="113">
        <v>0</v>
      </c>
      <c r="D31" s="112">
        <v>0</v>
      </c>
      <c r="E31" s="114">
        <v>0</v>
      </c>
      <c r="F31" s="108"/>
      <c r="G31" s="108"/>
      <c r="H31" s="108"/>
      <c r="I31" s="108"/>
    </row>
    <row r="32" spans="1:9" ht="28">
      <c r="A32" s="111" t="s">
        <v>7</v>
      </c>
      <c r="B32" s="112">
        <v>1700</v>
      </c>
      <c r="C32" s="113">
        <v>0.19</v>
      </c>
      <c r="D32" s="25" t="s">
        <v>36</v>
      </c>
      <c r="E32" s="115">
        <f>IF(E25&gt;1090,(IF(E25&lt;=1700,ROUND((((+E25-1090)*19%)*E2),-3),0)),0)</f>
        <v>0</v>
      </c>
      <c r="F32" s="108"/>
      <c r="G32" s="108"/>
      <c r="H32" s="108"/>
      <c r="I32" s="108"/>
    </row>
    <row r="33" spans="1:9" ht="42">
      <c r="A33" s="111" t="s">
        <v>8</v>
      </c>
      <c r="B33" s="112">
        <v>4100</v>
      </c>
      <c r="C33" s="113">
        <v>0.28000000000000003</v>
      </c>
      <c r="D33" s="25" t="s">
        <v>37</v>
      </c>
      <c r="E33" s="116">
        <f>IF(E25&gt;1700,IF(E25&lt;=4100,ROUND((((+E25-1700)*28%)*E2)+(116*E2),-3),0),0)</f>
        <v>0</v>
      </c>
      <c r="F33" s="108"/>
      <c r="G33" s="108"/>
      <c r="H33" s="108"/>
      <c r="I33" s="108"/>
    </row>
    <row r="34" spans="1:9" ht="42">
      <c r="A34" s="111" t="s">
        <v>9</v>
      </c>
      <c r="B34" s="112" t="s">
        <v>16</v>
      </c>
      <c r="C34" s="113">
        <v>0.33</v>
      </c>
      <c r="D34" s="25" t="s">
        <v>38</v>
      </c>
      <c r="E34" s="116">
        <f>IF(E25&gt;4100,ROUND((((+E25-4100)*33%)*E2)+(788*E2),-3),0)</f>
        <v>0</v>
      </c>
      <c r="F34" s="108"/>
      <c r="G34" s="108"/>
      <c r="H34" s="108"/>
      <c r="I34" s="108"/>
    </row>
    <row r="35" spans="1:9">
      <c r="A35" s="108"/>
      <c r="B35" s="108"/>
      <c r="C35" s="108"/>
      <c r="D35" s="108"/>
      <c r="E35" s="108"/>
      <c r="F35" s="108"/>
      <c r="G35" s="108"/>
      <c r="H35" s="108"/>
      <c r="I35" s="108"/>
    </row>
    <row r="36" spans="1:9" ht="14" thickBot="1"/>
    <row r="37" spans="1:9" ht="17" thickTop="1">
      <c r="A37" s="908" t="s">
        <v>458</v>
      </c>
      <c r="B37" s="909"/>
      <c r="C37" s="909"/>
      <c r="D37" s="910"/>
      <c r="E37" s="117">
        <f>'FORMULARIO 210'!J42</f>
        <v>50000000</v>
      </c>
    </row>
    <row r="38" spans="1:9" ht="16">
      <c r="A38" s="911" t="s">
        <v>50</v>
      </c>
      <c r="B38" s="898"/>
      <c r="C38" s="898"/>
      <c r="D38" s="899"/>
      <c r="E38" s="32">
        <v>0</v>
      </c>
    </row>
    <row r="39" spans="1:9" ht="17" thickBot="1">
      <c r="A39" s="912" t="s">
        <v>100</v>
      </c>
      <c r="B39" s="913"/>
      <c r="C39" s="913"/>
      <c r="D39" s="914"/>
      <c r="E39" s="118">
        <f>ROUND(MAX(E43:E44),-3)</f>
        <v>0</v>
      </c>
    </row>
    <row r="40" spans="1:9" ht="14" thickTop="1"/>
    <row r="41" spans="1:9" ht="21" customHeight="1">
      <c r="A41" s="906" t="s">
        <v>2</v>
      </c>
      <c r="B41" s="906"/>
      <c r="C41" s="907" t="s">
        <v>15</v>
      </c>
      <c r="D41" s="906" t="s">
        <v>5</v>
      </c>
      <c r="E41" s="895" t="s">
        <v>116</v>
      </c>
      <c r="F41" s="895" t="s">
        <v>117</v>
      </c>
    </row>
    <row r="42" spans="1:9" ht="14">
      <c r="A42" s="119" t="s">
        <v>3</v>
      </c>
      <c r="B42" s="120" t="s">
        <v>4</v>
      </c>
      <c r="C42" s="907"/>
      <c r="D42" s="906"/>
      <c r="E42" s="896"/>
      <c r="F42" s="896"/>
    </row>
    <row r="43" spans="1:9" ht="12.75" customHeight="1">
      <c r="A43" s="121" t="s">
        <v>6</v>
      </c>
      <c r="B43" s="112">
        <v>300</v>
      </c>
      <c r="C43" s="113">
        <v>0</v>
      </c>
      <c r="D43" s="112">
        <v>0</v>
      </c>
      <c r="E43" s="122">
        <v>0</v>
      </c>
      <c r="F43" s="122">
        <v>0</v>
      </c>
      <c r="I43" s="123"/>
    </row>
    <row r="44" spans="1:9" ht="28.5" customHeight="1">
      <c r="A44" s="121" t="s">
        <v>211</v>
      </c>
      <c r="B44" s="112" t="s">
        <v>212</v>
      </c>
      <c r="C44" s="113">
        <v>0.1</v>
      </c>
      <c r="D44" s="124" t="s">
        <v>264</v>
      </c>
      <c r="E44" s="125">
        <f>IF(E38&gt;300,((E38-300)*10%)*E2,0)</f>
        <v>0</v>
      </c>
      <c r="F44" s="125">
        <f>IF(E49&gt;300,((E49-300)*10%)*E2,0)</f>
        <v>0</v>
      </c>
      <c r="I44" s="123"/>
    </row>
    <row r="45" spans="1:9" ht="14" thickBot="1"/>
    <row r="46" spans="1:9" ht="17" thickTop="1">
      <c r="A46" s="903" t="s">
        <v>459</v>
      </c>
      <c r="B46" s="904"/>
      <c r="C46" s="904"/>
      <c r="D46" s="905"/>
      <c r="E46" s="126">
        <f>'FORMULARIO 210'!J43</f>
        <v>43000000</v>
      </c>
    </row>
    <row r="47" spans="1:9" ht="15.75" customHeight="1">
      <c r="A47" s="897" t="s">
        <v>521</v>
      </c>
      <c r="B47" s="898"/>
      <c r="C47" s="898"/>
      <c r="D47" s="899"/>
      <c r="E47" s="33">
        <f>E46*0.35</f>
        <v>15049999.999999998</v>
      </c>
    </row>
    <row r="48" spans="1:9" ht="16">
      <c r="A48" s="897" t="s">
        <v>1</v>
      </c>
      <c r="B48" s="898"/>
      <c r="C48" s="898"/>
      <c r="D48" s="899"/>
      <c r="E48" s="33">
        <f>E46-E47</f>
        <v>27950000</v>
      </c>
    </row>
    <row r="49" spans="1:5" ht="16">
      <c r="A49" s="897" t="s">
        <v>50</v>
      </c>
      <c r="B49" s="898"/>
      <c r="C49" s="898"/>
      <c r="D49" s="899"/>
      <c r="E49" s="33">
        <v>0</v>
      </c>
    </row>
    <row r="50" spans="1:5" ht="15.75" customHeight="1">
      <c r="A50" s="897" t="s">
        <v>101</v>
      </c>
      <c r="B50" s="898"/>
      <c r="C50" s="898"/>
      <c r="D50" s="899"/>
      <c r="E50" s="127">
        <v>0</v>
      </c>
    </row>
    <row r="51" spans="1:5" ht="12.75" customHeight="1" thickBot="1">
      <c r="A51" s="900" t="s">
        <v>234</v>
      </c>
      <c r="B51" s="901"/>
      <c r="C51" s="901"/>
      <c r="D51" s="902"/>
      <c r="E51" s="34">
        <f>ROUND((E50+E47),-3)</f>
        <v>15050000</v>
      </c>
    </row>
    <row r="52" spans="1:5" ht="12.75" customHeight="1" thickTop="1"/>
  </sheetData>
  <sheetProtection selectLockedCells="1"/>
  <mergeCells count="33">
    <mergeCell ref="I7:I8"/>
    <mergeCell ref="J7:J8"/>
    <mergeCell ref="H7:H8"/>
    <mergeCell ref="F7:F8"/>
    <mergeCell ref="C7:D7"/>
    <mergeCell ref="E7:E8"/>
    <mergeCell ref="G7:G8"/>
    <mergeCell ref="A18:D18"/>
    <mergeCell ref="A7:B7"/>
    <mergeCell ref="A2:D2"/>
    <mergeCell ref="A24:D24"/>
    <mergeCell ref="A25:D25"/>
    <mergeCell ref="A23:F23"/>
    <mergeCell ref="A17:D17"/>
    <mergeCell ref="A37:D37"/>
    <mergeCell ref="A38:D38"/>
    <mergeCell ref="A39:D39"/>
    <mergeCell ref="A26:D26"/>
    <mergeCell ref="E29:E30"/>
    <mergeCell ref="A29:B29"/>
    <mergeCell ref="C29:C30"/>
    <mergeCell ref="D29:D30"/>
    <mergeCell ref="E41:E42"/>
    <mergeCell ref="F41:F42"/>
    <mergeCell ref="A49:D49"/>
    <mergeCell ref="A50:D50"/>
    <mergeCell ref="A51:D51"/>
    <mergeCell ref="A46:D46"/>
    <mergeCell ref="A47:D47"/>
    <mergeCell ref="A48:D48"/>
    <mergeCell ref="A41:B41"/>
    <mergeCell ref="C41:C42"/>
    <mergeCell ref="D41:D42"/>
  </mergeCells>
  <phoneticPr fontId="0" type="noConversion"/>
  <hyperlinks>
    <hyperlink ref="E26" location="'210'!AO23" display="'210'!AO23" xr:uid="{00000000-0004-0000-0300-000000000000}"/>
    <hyperlink ref="E39" location="'210'!AO24" display="'210'!AO24" xr:uid="{00000000-0004-0000-0300-000001000000}"/>
    <hyperlink ref="E51" location="'210'!AO25" display="'210'!AO25" xr:uid="{00000000-0004-0000-0300-000002000000}"/>
  </hyperlinks>
  <printOptions horizontalCentered="1" verticalCentered="1"/>
  <pageMargins left="0" right="0" top="0" bottom="0" header="0" footer="0"/>
  <pageSetup scale="45" orientation="portrait"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4">
    <tabColor rgb="FF0070C0"/>
  </sheetPr>
  <dimension ref="A1:H23"/>
  <sheetViews>
    <sheetView showGridLines="0" zoomScale="170" zoomScaleNormal="170" zoomScaleSheetLayoutView="150" workbookViewId="0">
      <pane ySplit="1" topLeftCell="A2" activePane="bottomLeft" state="frozen"/>
      <selection pane="bottomLeft" activeCell="E15" sqref="E15"/>
    </sheetView>
  </sheetViews>
  <sheetFormatPr baseColWidth="10" defaultColWidth="0" defaultRowHeight="16"/>
  <cols>
    <col min="1" max="1" width="5.83203125" style="72" customWidth="1"/>
    <col min="2" max="2" width="47.5" style="72" customWidth="1"/>
    <col min="3" max="4" width="22.1640625" style="72" customWidth="1"/>
    <col min="5" max="5" width="19.5" style="75" customWidth="1"/>
    <col min="6" max="6" width="19" style="72" customWidth="1"/>
    <col min="7" max="7" width="11.5" style="72" customWidth="1"/>
    <col min="8" max="8" width="0" style="72" hidden="1" customWidth="1"/>
    <col min="9" max="16384" width="11.5" style="72" hidden="1"/>
  </cols>
  <sheetData>
    <row r="1" spans="2:5">
      <c r="B1" s="937"/>
      <c r="C1" s="937"/>
      <c r="D1" s="937"/>
      <c r="E1" s="938"/>
    </row>
    <row r="2" spans="2:5">
      <c r="B2" s="943" t="s">
        <v>44</v>
      </c>
      <c r="C2" s="943"/>
      <c r="D2" s="943"/>
      <c r="E2" s="791">
        <f>ROUND(SUM(D3:D5),-3)</f>
        <v>0</v>
      </c>
    </row>
    <row r="3" spans="2:5">
      <c r="B3" s="785" t="s">
        <v>799</v>
      </c>
      <c r="C3" s="785"/>
      <c r="D3" s="200"/>
      <c r="E3" s="791"/>
    </row>
    <row r="4" spans="2:5">
      <c r="B4" s="785"/>
      <c r="C4" s="785"/>
      <c r="D4" s="200"/>
      <c r="E4" s="791"/>
    </row>
    <row r="5" spans="2:5">
      <c r="B5" s="785"/>
      <c r="C5" s="785"/>
      <c r="D5" s="200">
        <v>0</v>
      </c>
      <c r="E5" s="791"/>
    </row>
    <row r="6" spans="2:5">
      <c r="B6" s="942" t="s">
        <v>43</v>
      </c>
      <c r="C6" s="935"/>
      <c r="D6" s="935"/>
      <c r="E6" s="939">
        <f>ROUND(SUM(D7:D9),-3)</f>
        <v>10000000</v>
      </c>
    </row>
    <row r="7" spans="2:5">
      <c r="B7" s="227"/>
      <c r="C7" s="200"/>
      <c r="D7" s="66">
        <f>C7*0.25</f>
        <v>0</v>
      </c>
      <c r="E7" s="940"/>
    </row>
    <row r="8" spans="2:5">
      <c r="B8" s="227" t="s">
        <v>791</v>
      </c>
      <c r="C8" s="200">
        <v>40000000</v>
      </c>
      <c r="D8" s="66">
        <f>C8*0.25</f>
        <v>10000000</v>
      </c>
      <c r="E8" s="940"/>
    </row>
    <row r="9" spans="2:5">
      <c r="B9" s="227"/>
      <c r="C9" s="200"/>
      <c r="D9" s="66">
        <f>C9*0.25</f>
        <v>0</v>
      </c>
      <c r="E9" s="941"/>
    </row>
    <row r="10" spans="2:5">
      <c r="B10" s="942" t="s">
        <v>469</v>
      </c>
      <c r="C10" s="935"/>
      <c r="D10" s="936"/>
      <c r="E10" s="791">
        <f>ROUND(SUM(D11:D13),-3)</f>
        <v>0</v>
      </c>
    </row>
    <row r="11" spans="2:5">
      <c r="B11" s="785"/>
      <c r="C11" s="785"/>
      <c r="D11" s="200"/>
      <c r="E11" s="791"/>
    </row>
    <row r="12" spans="2:5">
      <c r="B12" s="785"/>
      <c r="C12" s="785"/>
      <c r="D12" s="200"/>
      <c r="E12" s="791"/>
    </row>
    <row r="13" spans="2:5" ht="16.5" customHeight="1">
      <c r="B13" s="785"/>
      <c r="C13" s="785"/>
      <c r="D13" s="200"/>
      <c r="E13" s="791"/>
    </row>
    <row r="14" spans="2:5" ht="16.5" customHeight="1">
      <c r="B14" s="942" t="s">
        <v>522</v>
      </c>
      <c r="C14" s="935"/>
      <c r="D14" s="936"/>
      <c r="E14" s="333"/>
    </row>
    <row r="15" spans="2:5" ht="16.5" customHeight="1">
      <c r="B15" s="719" t="s">
        <v>534</v>
      </c>
      <c r="C15" s="720"/>
      <c r="D15" s="721"/>
      <c r="E15" s="354">
        <f>ROUND((((('C divid.'!F17+'C divid.'!F25-'FORMULARIO 210'!Y36)/'impto renta'!E2)-1090)*19%)*'impto renta'!E2,-3)</f>
        <v>5063000</v>
      </c>
    </row>
    <row r="16" spans="2:5" ht="16.5" customHeight="1">
      <c r="B16" s="748"/>
      <c r="C16" s="749"/>
      <c r="D16" s="750"/>
      <c r="E16" s="333"/>
    </row>
    <row r="17" spans="2:5" ht="16.5" customHeight="1">
      <c r="B17" s="748"/>
      <c r="C17" s="749"/>
      <c r="D17" s="750"/>
      <c r="E17" s="333"/>
    </row>
    <row r="18" spans="2:5" ht="16.5" customHeight="1">
      <c r="B18" s="748"/>
      <c r="C18" s="749"/>
      <c r="D18" s="750"/>
      <c r="E18" s="333"/>
    </row>
    <row r="20" spans="2:5">
      <c r="B20" s="934" t="s">
        <v>391</v>
      </c>
      <c r="C20" s="935"/>
      <c r="D20" s="936"/>
      <c r="E20" s="791">
        <f>ROUND(SUM(D21:D23),-3)</f>
        <v>0</v>
      </c>
    </row>
    <row r="21" spans="2:5">
      <c r="B21" s="785"/>
      <c r="C21" s="785"/>
      <c r="D21" s="200"/>
      <c r="E21" s="791"/>
    </row>
    <row r="22" spans="2:5">
      <c r="B22" s="785"/>
      <c r="C22" s="785"/>
      <c r="D22" s="200"/>
      <c r="E22" s="791"/>
    </row>
    <row r="23" spans="2:5">
      <c r="B23" s="785"/>
      <c r="C23" s="785"/>
      <c r="D23" s="200"/>
      <c r="E23" s="791"/>
    </row>
  </sheetData>
  <mergeCells count="23">
    <mergeCell ref="B18:D18"/>
    <mergeCell ref="B2:D2"/>
    <mergeCell ref="B6:D6"/>
    <mergeCell ref="B11:C11"/>
    <mergeCell ref="B3:C3"/>
    <mergeCell ref="B4:C4"/>
    <mergeCell ref="B12:C12"/>
    <mergeCell ref="B13:C13"/>
    <mergeCell ref="B14:D14"/>
    <mergeCell ref="B15:D15"/>
    <mergeCell ref="B16:D16"/>
    <mergeCell ref="B17:D17"/>
    <mergeCell ref="B1:E1"/>
    <mergeCell ref="E2:E5"/>
    <mergeCell ref="E6:E9"/>
    <mergeCell ref="B10:D10"/>
    <mergeCell ref="B5:C5"/>
    <mergeCell ref="E10:E13"/>
    <mergeCell ref="B20:D20"/>
    <mergeCell ref="E20:E23"/>
    <mergeCell ref="B21:C21"/>
    <mergeCell ref="B22:C22"/>
    <mergeCell ref="B23:C23"/>
  </mergeCells>
  <pageMargins left="0.7" right="0.7" top="0.75" bottom="0.75" header="0.3" footer="0.3"/>
  <pageSetup scale="7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6">
    <tabColor rgb="FF0070C0"/>
  </sheetPr>
  <dimension ref="A1:H39"/>
  <sheetViews>
    <sheetView showGridLines="0" defaultGridColor="0" colorId="57" zoomScale="240" zoomScaleNormal="240" zoomScaleSheetLayoutView="243" workbookViewId="0">
      <pane ySplit="1" topLeftCell="A9" activePane="bottomLeft" state="frozen"/>
      <selection activeCell="C28" sqref="C28"/>
      <selection pane="bottomLeft" activeCell="D3" sqref="D3:D9"/>
    </sheetView>
  </sheetViews>
  <sheetFormatPr baseColWidth="10" defaultColWidth="0" defaultRowHeight="16" zeroHeight="1"/>
  <cols>
    <col min="1" max="2" width="2.5" style="2" customWidth="1"/>
    <col min="3" max="3" width="37.5" style="2" customWidth="1"/>
    <col min="4" max="4" width="15.5" style="2" customWidth="1"/>
    <col min="5" max="5" width="14.1640625" style="2" customWidth="1"/>
    <col min="6" max="8" width="6.83203125" style="2" customWidth="1"/>
    <col min="9" max="16384" width="14.1640625" style="2" hidden="1"/>
  </cols>
  <sheetData>
    <row r="1" spans="2:5" ht="15.75" customHeight="1">
      <c r="B1" s="944" t="s">
        <v>65</v>
      </c>
      <c r="C1" s="944"/>
      <c r="D1" s="944"/>
      <c r="E1" s="944"/>
    </row>
    <row r="2" spans="2:5" ht="15.75" customHeight="1">
      <c r="B2" s="40"/>
      <c r="C2" s="40" t="s">
        <v>142</v>
      </c>
      <c r="D2" s="40" t="s">
        <v>111</v>
      </c>
      <c r="E2" s="36" t="s">
        <v>143</v>
      </c>
    </row>
    <row r="3" spans="2:5">
      <c r="B3" s="945" t="s">
        <v>364</v>
      </c>
      <c r="C3" s="41"/>
      <c r="D3" s="175">
        <v>0</v>
      </c>
      <c r="E3" s="801">
        <f>ROUND(SUM(D3:D36),-3)</f>
        <v>20820000</v>
      </c>
    </row>
    <row r="4" spans="2:5" ht="17">
      <c r="B4" s="946"/>
      <c r="C4" s="41" t="s">
        <v>836</v>
      </c>
      <c r="D4" s="176">
        <v>13450000</v>
      </c>
      <c r="E4" s="801"/>
    </row>
    <row r="5" spans="2:5" ht="17">
      <c r="B5" s="946"/>
      <c r="C5" s="41" t="s">
        <v>837</v>
      </c>
      <c r="D5" s="176">
        <v>1500000</v>
      </c>
      <c r="E5" s="801"/>
    </row>
    <row r="6" spans="2:5" ht="15" customHeight="1">
      <c r="B6" s="946"/>
      <c r="C6" s="42" t="s">
        <v>838</v>
      </c>
      <c r="D6" s="176">
        <v>700000</v>
      </c>
      <c r="E6" s="801"/>
    </row>
    <row r="7" spans="2:5" ht="16.5" customHeight="1">
      <c r="B7" s="946"/>
      <c r="C7" s="42" t="s">
        <v>839</v>
      </c>
      <c r="D7" s="176">
        <f>67000000*1%</f>
        <v>670000</v>
      </c>
      <c r="E7" s="801"/>
    </row>
    <row r="8" spans="2:5" ht="16.5" customHeight="1">
      <c r="B8" s="946"/>
      <c r="C8" s="42" t="s">
        <v>840</v>
      </c>
      <c r="D8" s="176">
        <v>4500000</v>
      </c>
      <c r="E8" s="801"/>
    </row>
    <row r="9" spans="2:5" ht="16.5" customHeight="1">
      <c r="B9" s="946"/>
      <c r="C9" s="42"/>
      <c r="D9" s="176">
        <v>0</v>
      </c>
      <c r="E9" s="801"/>
    </row>
    <row r="10" spans="2:5" ht="16.5" customHeight="1">
      <c r="B10" s="946"/>
      <c r="C10" s="42"/>
      <c r="D10" s="176">
        <v>0</v>
      </c>
      <c r="E10" s="801"/>
    </row>
    <row r="11" spans="2:5" ht="16.5" customHeight="1">
      <c r="B11" s="946"/>
      <c r="C11" s="42"/>
      <c r="D11" s="176">
        <v>0</v>
      </c>
      <c r="E11" s="801"/>
    </row>
    <row r="12" spans="2:5" ht="16.5" customHeight="1">
      <c r="B12" s="946"/>
      <c r="C12" s="42"/>
      <c r="D12" s="176">
        <v>0</v>
      </c>
      <c r="E12" s="801"/>
    </row>
    <row r="13" spans="2:5" ht="16.5" customHeight="1">
      <c r="B13" s="946"/>
      <c r="C13" s="42"/>
      <c r="D13" s="176">
        <v>0</v>
      </c>
      <c r="E13" s="801"/>
    </row>
    <row r="14" spans="2:5" ht="16.5" customHeight="1">
      <c r="B14" s="946"/>
      <c r="C14" s="42"/>
      <c r="D14" s="176"/>
      <c r="E14" s="801"/>
    </row>
    <row r="15" spans="2:5" ht="16.5" customHeight="1">
      <c r="B15" s="946"/>
      <c r="C15" s="42"/>
      <c r="D15" s="176"/>
      <c r="E15" s="801"/>
    </row>
    <row r="16" spans="2:5" ht="16.5" customHeight="1">
      <c r="B16" s="946"/>
      <c r="C16" s="42"/>
      <c r="D16" s="176"/>
      <c r="E16" s="801"/>
    </row>
    <row r="17" spans="2:5" ht="16.5" customHeight="1">
      <c r="B17" s="946"/>
      <c r="C17" s="42"/>
      <c r="D17" s="176"/>
      <c r="E17" s="801"/>
    </row>
    <row r="18" spans="2:5" ht="16.5" customHeight="1">
      <c r="B18" s="946"/>
      <c r="C18" s="42"/>
      <c r="D18" s="176"/>
      <c r="E18" s="801"/>
    </row>
    <row r="19" spans="2:5" ht="16.5" customHeight="1">
      <c r="B19" s="946"/>
      <c r="C19" s="42"/>
      <c r="D19" s="176"/>
      <c r="E19" s="801"/>
    </row>
    <row r="20" spans="2:5" ht="16.5" customHeight="1">
      <c r="B20" s="946"/>
      <c r="C20" s="42"/>
      <c r="D20" s="181"/>
      <c r="E20" s="801"/>
    </row>
    <row r="21" spans="2:5" ht="16.5" customHeight="1">
      <c r="B21" s="946"/>
      <c r="C21" s="42"/>
      <c r="D21" s="181"/>
      <c r="E21" s="801"/>
    </row>
    <row r="22" spans="2:5" ht="16.5" customHeight="1">
      <c r="B22" s="946"/>
      <c r="C22" s="42"/>
      <c r="D22" s="181"/>
      <c r="E22" s="801"/>
    </row>
    <row r="23" spans="2:5" ht="16.5" customHeight="1">
      <c r="B23" s="946"/>
      <c r="C23" s="42"/>
      <c r="D23" s="181"/>
      <c r="E23" s="801"/>
    </row>
    <row r="24" spans="2:5" ht="16.5" customHeight="1">
      <c r="B24" s="946"/>
      <c r="C24" s="42"/>
      <c r="D24" s="181"/>
      <c r="E24" s="801"/>
    </row>
    <row r="25" spans="2:5" ht="16.5" customHeight="1">
      <c r="B25" s="946"/>
      <c r="C25" s="42"/>
      <c r="D25" s="181"/>
      <c r="E25" s="801"/>
    </row>
    <row r="26" spans="2:5" ht="16.5" customHeight="1">
      <c r="B26" s="946"/>
      <c r="C26" s="42"/>
      <c r="D26" s="181"/>
      <c r="E26" s="801"/>
    </row>
    <row r="27" spans="2:5" ht="16.5" customHeight="1">
      <c r="B27" s="946"/>
      <c r="C27" s="42"/>
      <c r="D27" s="181"/>
      <c r="E27" s="801"/>
    </row>
    <row r="28" spans="2:5" ht="16.5" customHeight="1">
      <c r="B28" s="946"/>
      <c r="C28" s="42"/>
      <c r="D28" s="181"/>
      <c r="E28" s="801"/>
    </row>
    <row r="29" spans="2:5" ht="16.5" customHeight="1">
      <c r="B29" s="946"/>
      <c r="C29" s="42"/>
      <c r="D29" s="175"/>
      <c r="E29" s="801"/>
    </row>
    <row r="30" spans="2:5" ht="16.5" customHeight="1">
      <c r="B30" s="946"/>
      <c r="C30" s="42"/>
      <c r="D30" s="175"/>
      <c r="E30" s="801"/>
    </row>
    <row r="31" spans="2:5" ht="16.5" customHeight="1">
      <c r="B31" s="946"/>
      <c r="C31" s="42"/>
      <c r="D31" s="175"/>
      <c r="E31" s="801"/>
    </row>
    <row r="32" spans="2:5" ht="16.5" customHeight="1">
      <c r="B32" s="946"/>
      <c r="C32" s="42"/>
      <c r="D32" s="175"/>
      <c r="E32" s="801"/>
    </row>
    <row r="33" spans="2:5" ht="16.5" customHeight="1">
      <c r="B33" s="946"/>
      <c r="C33" s="42"/>
      <c r="D33" s="175"/>
      <c r="E33" s="801"/>
    </row>
    <row r="34" spans="2:5" ht="16.5" customHeight="1">
      <c r="B34" s="946"/>
      <c r="C34" s="42"/>
      <c r="D34" s="175"/>
      <c r="E34" s="801"/>
    </row>
    <row r="35" spans="2:5" ht="16.5" customHeight="1">
      <c r="B35" s="946"/>
      <c r="C35" s="42"/>
      <c r="D35" s="175"/>
      <c r="E35" s="801"/>
    </row>
    <row r="36" spans="2:5" ht="16.5" customHeight="1">
      <c r="B36" s="946"/>
      <c r="C36" s="39"/>
      <c r="D36" s="175"/>
      <c r="E36" s="801"/>
    </row>
    <row r="37" spans="2:5"/>
    <row r="38" spans="2:5"/>
    <row r="39" spans="2:5"/>
  </sheetData>
  <mergeCells count="3">
    <mergeCell ref="B1:E1"/>
    <mergeCell ref="B3:B36"/>
    <mergeCell ref="E3:E36"/>
  </mergeCells>
  <phoneticPr fontId="0" type="noConversion"/>
  <hyperlinks>
    <hyperlink ref="B3:B36" location="'FORMULARIO 210'!Y50" display="Renglón 133" xr:uid="{00000000-0004-0000-1200-000000000000}"/>
  </hyperlinks>
  <printOptions horizontalCentered="1" verticalCentered="1"/>
  <pageMargins left="0" right="0" top="0" bottom="0" header="0" footer="0"/>
  <pageSetup orientation="landscape"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7">
    <tabColor rgb="FF0070C0"/>
  </sheetPr>
  <dimension ref="A1:H43"/>
  <sheetViews>
    <sheetView showGridLines="0" zoomScale="160" zoomScaleNormal="160" zoomScaleSheetLayoutView="157" workbookViewId="0">
      <pane ySplit="1" topLeftCell="A23" activePane="bottomLeft" state="frozen"/>
      <selection activeCell="C28" sqref="C28"/>
      <selection pane="bottomLeft" activeCell="E40" sqref="E40"/>
    </sheetView>
  </sheetViews>
  <sheetFormatPr baseColWidth="10" defaultColWidth="0" defaultRowHeight="16" zeroHeight="1"/>
  <cols>
    <col min="1" max="1" width="6.5" style="69" customWidth="1"/>
    <col min="2" max="2" width="4" style="69" customWidth="1"/>
    <col min="3" max="3" width="3.5" style="69" customWidth="1"/>
    <col min="4" max="4" width="96.5" style="69" customWidth="1"/>
    <col min="5" max="5" width="15.5" style="72" bestFit="1" customWidth="1"/>
    <col min="6" max="8" width="5.33203125" style="69" customWidth="1"/>
    <col min="9" max="16384" width="11.5" style="69" hidden="1"/>
  </cols>
  <sheetData>
    <row r="1" spans="2:8" ht="15.75" customHeight="1">
      <c r="B1" s="438" t="s">
        <v>547</v>
      </c>
      <c r="C1" s="439"/>
      <c r="D1" s="439"/>
      <c r="E1" s="440"/>
    </row>
    <row r="2" spans="2:8" ht="15.75" customHeight="1">
      <c r="B2" s="132"/>
      <c r="C2" s="178"/>
      <c r="D2" s="178"/>
      <c r="E2" s="179"/>
    </row>
    <row r="3" spans="2:8" ht="15.75" customHeight="1">
      <c r="B3" s="132"/>
      <c r="C3" s="444" t="s">
        <v>809</v>
      </c>
      <c r="D3" s="445"/>
      <c r="E3" s="258">
        <v>0</v>
      </c>
    </row>
    <row r="4" spans="2:8" ht="15.75" customHeight="1">
      <c r="B4" s="132"/>
      <c r="C4" s="444" t="s">
        <v>810</v>
      </c>
      <c r="D4" s="445"/>
      <c r="E4" s="258">
        <v>8700000</v>
      </c>
    </row>
    <row r="5" spans="2:8" ht="15.75" customHeight="1">
      <c r="B5" s="448" t="s">
        <v>365</v>
      </c>
      <c r="C5" s="444" t="s">
        <v>811</v>
      </c>
      <c r="D5" s="445"/>
      <c r="E5" s="258">
        <v>18000000</v>
      </c>
    </row>
    <row r="6" spans="2:8" ht="30.75" customHeight="1">
      <c r="B6" s="448"/>
      <c r="C6" s="446" t="s">
        <v>263</v>
      </c>
      <c r="D6" s="447"/>
      <c r="E6" s="259">
        <v>3</v>
      </c>
    </row>
    <row r="7" spans="2:8">
      <c r="B7" s="448"/>
      <c r="C7" s="443" t="s">
        <v>102</v>
      </c>
      <c r="D7" s="24" t="s">
        <v>144</v>
      </c>
      <c r="E7" s="79" cm="1">
        <f t="array" ref="E7:H7">'FORMULARIO 210'!Y42:AB42</f>
        <v>116634000</v>
      </c>
      <c r="F7" s="69">
        <v>0</v>
      </c>
      <c r="G7" s="69">
        <v>0</v>
      </c>
      <c r="H7" s="69">
        <v>0</v>
      </c>
    </row>
    <row r="8" spans="2:8">
      <c r="B8" s="448"/>
      <c r="C8" s="443"/>
      <c r="D8" s="83">
        <v>0.25</v>
      </c>
      <c r="E8" s="79">
        <f>ROUND(+E7*D8,-3)</f>
        <v>29159000</v>
      </c>
    </row>
    <row r="9" spans="2:8">
      <c r="B9" s="448"/>
      <c r="C9" s="443"/>
      <c r="D9" s="24" t="s">
        <v>141</v>
      </c>
      <c r="E9" s="79">
        <f>retefuente!E3</f>
        <v>20820000</v>
      </c>
    </row>
    <row r="10" spans="2:8">
      <c r="B10" s="448"/>
      <c r="C10" s="443"/>
      <c r="D10" s="43" t="s">
        <v>812</v>
      </c>
      <c r="E10" s="82">
        <f>IF(E6=1,IF(E8-E9&gt;0,E8-E9,0),0)</f>
        <v>0</v>
      </c>
    </row>
    <row r="11" spans="2:8">
      <c r="B11" s="448"/>
      <c r="C11" s="443" t="s">
        <v>103</v>
      </c>
      <c r="D11" s="441" t="s">
        <v>118</v>
      </c>
      <c r="E11" s="442"/>
    </row>
    <row r="12" spans="2:8">
      <c r="B12" s="448"/>
      <c r="C12" s="443"/>
      <c r="D12" s="24" t="s">
        <v>139</v>
      </c>
      <c r="E12" s="79">
        <f>+E5</f>
        <v>18000000</v>
      </c>
    </row>
    <row r="13" spans="2:8">
      <c r="B13" s="448"/>
      <c r="C13" s="443"/>
      <c r="D13" s="24" t="str">
        <f>D7</f>
        <v>Impuesto neto de renta año corriente</v>
      </c>
      <c r="E13" s="79">
        <f>+E7</f>
        <v>116634000</v>
      </c>
    </row>
    <row r="14" spans="2:8">
      <c r="B14" s="448"/>
      <c r="C14" s="443"/>
      <c r="D14" s="84" t="s">
        <v>1</v>
      </c>
      <c r="E14" s="80">
        <f>+E12+E13</f>
        <v>134634000</v>
      </c>
    </row>
    <row r="15" spans="2:8">
      <c r="B15" s="448"/>
      <c r="C15" s="443"/>
      <c r="D15" s="84" t="s">
        <v>20</v>
      </c>
      <c r="E15" s="80">
        <f>ROUND(+E14/2,-3)</f>
        <v>67317000</v>
      </c>
    </row>
    <row r="16" spans="2:8">
      <c r="B16" s="448"/>
      <c r="C16" s="443"/>
      <c r="D16" s="83">
        <v>0.5</v>
      </c>
      <c r="E16" s="79">
        <f>ROUND(+E15*D16,-3)</f>
        <v>33659000</v>
      </c>
    </row>
    <row r="17" spans="2:6">
      <c r="B17" s="448"/>
      <c r="C17" s="443"/>
      <c r="D17" s="85" t="s">
        <v>140</v>
      </c>
      <c r="E17" s="79">
        <f>+E9</f>
        <v>20820000</v>
      </c>
    </row>
    <row r="18" spans="2:6">
      <c r="B18" s="448"/>
      <c r="C18" s="443"/>
      <c r="D18" s="86" t="s">
        <v>120</v>
      </c>
      <c r="E18" s="80">
        <f>IF(E6=2,IF(E16-E17&gt;0,E16-E17,0),0)</f>
        <v>0</v>
      </c>
    </row>
    <row r="19" spans="2:6">
      <c r="B19" s="448"/>
      <c r="C19" s="443"/>
      <c r="D19" s="441" t="s">
        <v>119</v>
      </c>
      <c r="E19" s="442"/>
    </row>
    <row r="20" spans="2:6">
      <c r="B20" s="448"/>
      <c r="C20" s="443"/>
      <c r="D20" s="24" t="str">
        <f>D13</f>
        <v>Impuesto neto de renta año corriente</v>
      </c>
      <c r="E20" s="79">
        <f>+E7</f>
        <v>116634000</v>
      </c>
    </row>
    <row r="21" spans="2:6">
      <c r="B21" s="448"/>
      <c r="C21" s="443"/>
      <c r="D21" s="83">
        <v>0.5</v>
      </c>
      <c r="E21" s="79">
        <f>ROUND(+E20*D21,-3)</f>
        <v>58317000</v>
      </c>
    </row>
    <row r="22" spans="2:6">
      <c r="B22" s="448"/>
      <c r="C22" s="443"/>
      <c r="D22" s="24" t="s">
        <v>141</v>
      </c>
      <c r="E22" s="79">
        <f>+E9</f>
        <v>20820000</v>
      </c>
    </row>
    <row r="23" spans="2:6">
      <c r="B23" s="448"/>
      <c r="C23" s="443"/>
      <c r="D23" s="86" t="s">
        <v>121</v>
      </c>
      <c r="E23" s="80">
        <f>IF(E6=2,IF(E21-E22&gt;0,E21-E22,0),0)</f>
        <v>0</v>
      </c>
    </row>
    <row r="24" spans="2:6">
      <c r="B24" s="448"/>
      <c r="C24" s="443"/>
      <c r="D24" s="76" t="s">
        <v>812</v>
      </c>
      <c r="E24" s="81">
        <f>IF(E18&gt;E23,E23,E18)</f>
        <v>0</v>
      </c>
    </row>
    <row r="25" spans="2:6" hidden="1">
      <c r="B25" s="448"/>
      <c r="C25" s="443" t="s">
        <v>104</v>
      </c>
      <c r="D25" s="86" t="s">
        <v>118</v>
      </c>
      <c r="E25" s="44"/>
    </row>
    <row r="26" spans="2:6">
      <c r="B26" s="448"/>
      <c r="C26" s="443"/>
      <c r="D26" s="24" t="s">
        <v>139</v>
      </c>
      <c r="E26" s="79">
        <f>+E5</f>
        <v>18000000</v>
      </c>
    </row>
    <row r="27" spans="2:6">
      <c r="B27" s="448"/>
      <c r="C27" s="443"/>
      <c r="D27" s="24" t="str">
        <f>D20</f>
        <v>Impuesto neto de renta año corriente</v>
      </c>
      <c r="E27" s="79">
        <f>+E7</f>
        <v>116634000</v>
      </c>
    </row>
    <row r="28" spans="2:6">
      <c r="B28" s="448"/>
      <c r="C28" s="443"/>
      <c r="D28" s="86" t="s">
        <v>1</v>
      </c>
      <c r="E28" s="80">
        <f>SUM(E26:E27)</f>
        <v>134634000</v>
      </c>
    </row>
    <row r="29" spans="2:6">
      <c r="B29" s="448"/>
      <c r="C29" s="443"/>
      <c r="D29" s="86" t="s">
        <v>20</v>
      </c>
      <c r="E29" s="80">
        <f>ROUND((E28/2),-3)</f>
        <v>67317000</v>
      </c>
    </row>
    <row r="30" spans="2:6">
      <c r="B30" s="448"/>
      <c r="C30" s="443"/>
      <c r="D30" s="83">
        <v>0.75</v>
      </c>
      <c r="E30" s="79">
        <f>ROUND(+E29*D30,-3)</f>
        <v>50488000</v>
      </c>
      <c r="F30" s="77"/>
    </row>
    <row r="31" spans="2:6">
      <c r="B31" s="448"/>
      <c r="C31" s="443"/>
      <c r="D31" s="24" t="s">
        <v>141</v>
      </c>
      <c r="E31" s="79">
        <f>+E9</f>
        <v>20820000</v>
      </c>
    </row>
    <row r="32" spans="2:6">
      <c r="B32" s="448"/>
      <c r="C32" s="443"/>
      <c r="D32" s="86" t="s">
        <v>120</v>
      </c>
      <c r="E32" s="80">
        <f>IF(E6=3,IF(E30-E31&gt;0,E30-E31,0),0)</f>
        <v>29668000</v>
      </c>
    </row>
    <row r="33" spans="2:5">
      <c r="B33" s="448"/>
      <c r="C33" s="443"/>
      <c r="D33" s="86" t="s">
        <v>119</v>
      </c>
      <c r="E33" s="44"/>
    </row>
    <row r="34" spans="2:5">
      <c r="B34" s="448"/>
      <c r="C34" s="443"/>
      <c r="D34" s="24" t="str">
        <f>D27</f>
        <v>Impuesto neto de renta año corriente</v>
      </c>
      <c r="E34" s="79">
        <f>+E7</f>
        <v>116634000</v>
      </c>
    </row>
    <row r="35" spans="2:5">
      <c r="B35" s="448"/>
      <c r="C35" s="443"/>
      <c r="D35" s="83">
        <v>0.75</v>
      </c>
      <c r="E35" s="79">
        <f>ROUND(+E34*D35,-3)</f>
        <v>87476000</v>
      </c>
    </row>
    <row r="36" spans="2:5">
      <c r="B36" s="448"/>
      <c r="C36" s="443"/>
      <c r="D36" s="24" t="s">
        <v>141</v>
      </c>
      <c r="E36" s="79">
        <f>+E9</f>
        <v>20820000</v>
      </c>
    </row>
    <row r="37" spans="2:5">
      <c r="B37" s="448"/>
      <c r="C37" s="443"/>
      <c r="D37" s="86" t="s">
        <v>121</v>
      </c>
      <c r="E37" s="80">
        <f>IF(E6=3,IF(E35-E36&gt;0,E35-E36,0),0)</f>
        <v>66656000</v>
      </c>
    </row>
    <row r="38" spans="2:5">
      <c r="B38" s="448"/>
      <c r="C38" s="443"/>
      <c r="D38" s="43" t="s">
        <v>812</v>
      </c>
      <c r="E38" s="80">
        <f>IF(E32&gt;E37,E37,E32)</f>
        <v>29668000</v>
      </c>
    </row>
    <row r="39" spans="2:5">
      <c r="B39" s="448"/>
      <c r="C39" s="27"/>
      <c r="D39" s="27"/>
      <c r="E39" s="28"/>
    </row>
    <row r="40" spans="2:5">
      <c r="B40" s="449"/>
      <c r="C40" s="78" t="s">
        <v>813</v>
      </c>
      <c r="D40" s="45"/>
      <c r="E40" s="89">
        <f>IF(E10&gt;0,E10,IF(E24&gt;0,E24,IF(E38&gt;0,E38,0)))</f>
        <v>29668000</v>
      </c>
    </row>
    <row r="41" spans="2:5"/>
    <row r="42" spans="2:5"/>
    <row r="43" spans="2:5"/>
  </sheetData>
  <mergeCells count="11">
    <mergeCell ref="B1:E1"/>
    <mergeCell ref="D11:E11"/>
    <mergeCell ref="D19:E19"/>
    <mergeCell ref="C25:C38"/>
    <mergeCell ref="C7:C10"/>
    <mergeCell ref="C11:C24"/>
    <mergeCell ref="C5:D5"/>
    <mergeCell ref="C6:D6"/>
    <mergeCell ref="B5:B40"/>
    <mergeCell ref="C3:D3"/>
    <mergeCell ref="C4:D4"/>
  </mergeCells>
  <conditionalFormatting sqref="E18">
    <cfRule type="cellIs" priority="1" stopIfTrue="1" operator="between">
      <formula>#REF!</formula>
      <formula>#REF!</formula>
    </cfRule>
  </conditionalFormatting>
  <hyperlinks>
    <hyperlink ref="B5:B40" location="'FORMULARIO 210'!Y51" display="Renglón 134" xr:uid="{00000000-0004-0000-1300-000000000000}"/>
  </hyperlinks>
  <pageMargins left="0.7" right="0.7" top="0.75" bottom="0.75" header="0.3" footer="0.3"/>
  <pageSetup scale="73"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24</vt:i4>
      </vt:variant>
      <vt:variant>
        <vt:lpstr>Rangos con nombre</vt:lpstr>
      </vt:variant>
      <vt:variant>
        <vt:i4>8</vt:i4>
      </vt:variant>
    </vt:vector>
  </HeadingPairs>
  <TitlesOfParts>
    <vt:vector size="32" baseType="lpstr">
      <vt:lpstr>Calendario Tributario</vt:lpstr>
      <vt:lpstr>Datos del contribuyente</vt:lpstr>
      <vt:lpstr>FORMULARIO 210</vt:lpstr>
      <vt:lpstr>rta x comp patr</vt:lpstr>
      <vt:lpstr>Hoja1</vt:lpstr>
      <vt:lpstr>Pat bruto</vt:lpstr>
      <vt:lpstr>EXOGENA 2025</vt:lpstr>
      <vt:lpstr>Sheet1</vt:lpstr>
      <vt:lpstr>Deudas</vt:lpstr>
      <vt:lpstr>R.trabajo y honorarios</vt:lpstr>
      <vt:lpstr>Dependientes </vt:lpstr>
      <vt:lpstr>Fac. Elctrónicas</vt:lpstr>
      <vt:lpstr>R.capital</vt:lpstr>
      <vt:lpstr>tabl int presunt</vt:lpstr>
      <vt:lpstr>R.no laboral y R gravables</vt:lpstr>
      <vt:lpstr>G.OCAS</vt:lpstr>
      <vt:lpstr>REAJUST FISCAL</vt:lpstr>
      <vt:lpstr>C.pensiones</vt:lpstr>
      <vt:lpstr>renta presunt</vt:lpstr>
      <vt:lpstr>C divid.</vt:lpstr>
      <vt:lpstr>impto renta</vt:lpstr>
      <vt:lpstr>dtos tribut</vt:lpstr>
      <vt:lpstr>retefuente</vt:lpstr>
      <vt:lpstr>anticipo</vt:lpstr>
      <vt:lpstr>anticipo!Área_de_impresión</vt:lpstr>
      <vt:lpstr>'C divid.'!Área_de_impresión</vt:lpstr>
      <vt:lpstr>C.pensiones!Área_de_impresión</vt:lpstr>
      <vt:lpstr>'dtos tribut'!Área_de_impresión</vt:lpstr>
      <vt:lpstr>'Pat bruto'!Área_de_impresión</vt:lpstr>
      <vt:lpstr>R.capital!Área_de_impresión</vt:lpstr>
      <vt:lpstr>'R.no laboral y R gravables'!Área_de_impresión</vt:lpstr>
      <vt:lpstr>'renta presunt'!Área_de_impresión</vt:lpstr>
    </vt:vector>
  </TitlesOfParts>
  <Company>Windows 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Anzola</dc:creator>
  <cp:lastModifiedBy>Cesar Evelio Anzola Aguilar</cp:lastModifiedBy>
  <cp:lastPrinted>2019-06-11T16:34:56Z</cp:lastPrinted>
  <dcterms:created xsi:type="dcterms:W3CDTF">2008-09-09T15:22:21Z</dcterms:created>
  <dcterms:modified xsi:type="dcterms:W3CDTF">2026-06-24T18:30:05Z</dcterms:modified>
</cp:coreProperties>
</file>