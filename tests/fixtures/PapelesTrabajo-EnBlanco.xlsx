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8800" windowHeight="18000" tabRatio="900" firstSheet="1" activeTab="0" autoFilterDateGrouping="1"/>
  </bookViews>
  <sheets>
    <sheet xmlns:r="http://schemas.openxmlformats.org/officeDocument/2006/relationships" name="Índice" sheetId="1" state="visible" r:id="rId1"/>
    <sheet xmlns:r="http://schemas.openxmlformats.org/officeDocument/2006/relationships" name="Calendario Tributario" sheetId="2" state="hidden" r:id="rId2"/>
    <sheet xmlns:r="http://schemas.openxmlformats.org/officeDocument/2006/relationships" name="Datos del contribuyente" sheetId="3" state="visible" r:id="rId3"/>
    <sheet xmlns:r="http://schemas.openxmlformats.org/officeDocument/2006/relationships" name="FORMULARIO 210" sheetId="4" state="visible" r:id="rId4"/>
    <sheet xmlns:r="http://schemas.openxmlformats.org/officeDocument/2006/relationships" name="rta x comp patr" sheetId="5" state="visible" r:id="rId5"/>
    <sheet xmlns:r="http://schemas.openxmlformats.org/officeDocument/2006/relationships" name="Hoja1" sheetId="6" state="hidden" r:id="rId6"/>
    <sheet xmlns:r="http://schemas.openxmlformats.org/officeDocument/2006/relationships" name="Pat bruto" sheetId="7" state="visible" r:id="rId7"/>
    <sheet xmlns:r="http://schemas.openxmlformats.org/officeDocument/2006/relationships" name="EXOGENA 2025" sheetId="8" state="visible" r:id="rId8"/>
    <sheet xmlns:r="http://schemas.openxmlformats.org/officeDocument/2006/relationships" name="Sheet1" sheetId="9" state="hidden" r:id="rId9"/>
    <sheet xmlns:r="http://schemas.openxmlformats.org/officeDocument/2006/relationships" name="Deudas" sheetId="10" state="visible" r:id="rId10"/>
    <sheet xmlns:r="http://schemas.openxmlformats.org/officeDocument/2006/relationships" name="R.trabajo y honorarios" sheetId="11" state="visible" r:id="rId11"/>
    <sheet xmlns:r="http://schemas.openxmlformats.org/officeDocument/2006/relationships" name="Dependientes " sheetId="12" state="visible" r:id="rId12"/>
    <sheet xmlns:r="http://schemas.openxmlformats.org/officeDocument/2006/relationships" name="Fac. Elctrónicas" sheetId="13" state="visible" r:id="rId13"/>
    <sheet xmlns:r="http://schemas.openxmlformats.org/officeDocument/2006/relationships" name="R.capital" sheetId="14" state="visible" r:id="rId14"/>
    <sheet xmlns:r="http://schemas.openxmlformats.org/officeDocument/2006/relationships" name="tabl int presunt" sheetId="15" state="visible" r:id="rId15"/>
    <sheet xmlns:r="http://schemas.openxmlformats.org/officeDocument/2006/relationships" name="R.no laboral y R gravables" sheetId="16" state="visible" r:id="rId16"/>
    <sheet xmlns:r="http://schemas.openxmlformats.org/officeDocument/2006/relationships" name="G.OCAS" sheetId="17" state="visible" r:id="rId17"/>
    <sheet xmlns:r="http://schemas.openxmlformats.org/officeDocument/2006/relationships" name="REAJUST FISCAL" sheetId="18" state="hidden" r:id="rId18"/>
    <sheet xmlns:r="http://schemas.openxmlformats.org/officeDocument/2006/relationships" name="C.pensiones" sheetId="19" state="visible" r:id="rId19"/>
    <sheet xmlns:r="http://schemas.openxmlformats.org/officeDocument/2006/relationships" name="renta presunt" sheetId="20" state="visible" r:id="rId20"/>
    <sheet xmlns:r="http://schemas.openxmlformats.org/officeDocument/2006/relationships" name="C divid." sheetId="21" state="visible" r:id="rId21"/>
    <sheet xmlns:r="http://schemas.openxmlformats.org/officeDocument/2006/relationships" name="impto renta" sheetId="22" state="hidden" r:id="rId22"/>
    <sheet xmlns:r="http://schemas.openxmlformats.org/officeDocument/2006/relationships" name="dtos tribut" sheetId="23" state="visible" r:id="rId23"/>
    <sheet xmlns:r="http://schemas.openxmlformats.org/officeDocument/2006/relationships" name="retefuente" sheetId="24" state="visible" r:id="rId24"/>
    <sheet xmlns:r="http://schemas.openxmlformats.org/officeDocument/2006/relationships" name="anticipo" sheetId="25" state="visible" r:id="rId25"/>
  </sheets>
  <externalReferences>
    <externalReference xmlns:r="http://schemas.openxmlformats.org/officeDocument/2006/relationships" r:id="rId26"/>
  </externalReferences>
  <definedNames>
    <definedName name="_REN60">'[1]imp g.o.'!#REF!</definedName>
    <definedName name="_UVT2010">#REF!</definedName>
    <definedName name="ANEXOS">#REF!</definedName>
    <definedName name="ANEXOS4">#REF!</definedName>
    <definedName name="BALANCE1">#REF!</definedName>
    <definedName name="COD_REPRES">#N/A</definedName>
    <definedName name="dirmanualuser">#REF!</definedName>
    <definedName name="ESTADO">#REF!</definedName>
    <definedName name="SALDOS">#REF!</definedName>
    <definedName name="validalog">#REF!</definedName>
    <definedName name="_xlnm.Print_Area" localSheetId="6">'Pat bruto'!$A$1:$J$121</definedName>
    <definedName name="_xlnm.Print_Area" localSheetId="13">'R.capital'!$B$1:$G$68</definedName>
    <definedName name="_xlnm.Print_Area" localSheetId="15">'R.no laboral y R gravables'!$A$1:$G$88</definedName>
    <definedName name="_xlnm.Print_Area" localSheetId="18">'C.pensiones'!$B$1:$F$31</definedName>
    <definedName name="_xlnm.Print_Area" localSheetId="19">'renta presunt'!$B$1:$I$17</definedName>
    <definedName name="_xlnm.Print_Area" localSheetId="20">'C divid.'!$B$1:$F$47</definedName>
    <definedName name="_xlnm.Print_Area" localSheetId="22">'dtos tribut'!$B$1:$E$18</definedName>
    <definedName name="_xlnm.Print_Area" localSheetId="24">'anticipo'!$B$1:$E$40</definedName>
  </definedNames>
  <calcPr calcId="191029" fullCalcOnLoad="1"/>
</workbook>
</file>

<file path=xl/styles.xml><?xml version="1.0" encoding="utf-8"?>
<styleSheet xmlns="http://schemas.openxmlformats.org/spreadsheetml/2006/main">
  <numFmts count="21">
    <numFmt numFmtId="164" formatCode="#,##0_ ;\-#,##0\ "/>
    <numFmt numFmtId="165" formatCode="_-* #,##0\ _€_-;\-* #,##0\ _€_-;_-* &quot;-&quot;\ _€_-;_-@_-"/>
    <numFmt numFmtId="166" formatCode="&quot;$&quot;\ #,##0;[Red]&quot;$&quot;\ \-#,##0"/>
    <numFmt numFmtId="167" formatCode="&quot;$&quot;\ #,##0"/>
    <numFmt numFmtId="168" formatCode="yyyy\-mm\-dd;@"/>
    <numFmt numFmtId="169" formatCode="_-* #,##0.00\ _€_-;\-* #,##0.00\ _€_-;_-* &quot;-&quot;??\ _€_-;_-@_-"/>
    <numFmt numFmtId="170" formatCode="0.0%"/>
    <numFmt numFmtId="171" formatCode="0.E+00"/>
    <numFmt numFmtId="172" formatCode="0.0"/>
    <numFmt numFmtId="173" formatCode="_-* #,##0\ _€_-;\-* #,##0\ _€_-;_-* &quot;-&quot;??\ _€_-;_-@_-"/>
    <numFmt numFmtId="174" formatCode="[$-240A]d&quot; de &quot;mmmm&quot; de &quot;yyyy;@"/>
    <numFmt numFmtId="175" formatCode="[$-F800]dddd\,\ mmmm\ dd\,\ yyyy"/>
    <numFmt numFmtId="176" formatCode="_-* #,##0_-;\-* #,##0_-;_-* &quot;-&quot;??_-;_-@_-"/>
    <numFmt numFmtId="177" formatCode="_-* #,##0.00\ &quot;€&quot;_-;\-* #,##0.00\ &quot;€&quot;_-;_-* &quot;-&quot;??\ &quot;€&quot;_-;_-@_-"/>
    <numFmt numFmtId="178" formatCode="_-* #,##0\ &quot;€&quot;_-;\-* #,##0\ &quot;€&quot;_-;_-* &quot;-&quot;\ &quot;€&quot;_-;_-@_-"/>
    <numFmt numFmtId="179" formatCode="_ [$€-2]\ * #,##0.00_ ;_ [$€-2]\ * \-#,##0.00_ ;_ [$€-2]\ * &quot;-&quot;??_ "/>
    <numFmt numFmtId="180" formatCode="_ * #,##0_ ;_ * \-#,##0_ ;_ * &quot;-&quot;_ ;_ @_ "/>
    <numFmt numFmtId="181" formatCode="_ * #,##0.00_ ;_ * \-#,##0.00_ ;_ * &quot;-&quot;??_ ;_ @_ "/>
    <numFmt numFmtId="182" formatCode="0_ "/>
    <numFmt numFmtId="183" formatCode="_ &quot;$&quot;\ * #,##0.00_ ;_ &quot;$&quot;\ * \-#,##0.00_ ;_ &quot;$&quot;\ * &quot;-&quot;??_ ;_ @_ "/>
    <numFmt numFmtId="184" formatCode="dd/mm/yyyy"/>
  </numFmts>
  <fonts count="93">
    <font>
      <name val="Calibri"/>
      <family val="2"/>
      <color theme="1"/>
      <sz val="11"/>
      <scheme val="minor"/>
    </font>
    <font>
      <name val="Calibri"/>
      <family val="2"/>
      <color theme="1"/>
      <sz val="12"/>
      <scheme val="minor"/>
    </font>
    <font>
      <name val="Calibri"/>
      <family val="2"/>
      <color indexed="8"/>
      <sz val="11"/>
    </font>
    <font>
      <name val="Arial"/>
      <family val="2"/>
      <b val="1"/>
      <sz val="10"/>
    </font>
    <font>
      <name val="Arial"/>
      <family val="2"/>
      <sz val="10"/>
    </font>
    <font>
      <name val="Calibri"/>
      <family val="2"/>
      <color indexed="8"/>
      <sz val="11"/>
    </font>
    <font>
      <name val="Calibri"/>
      <family val="2"/>
      <color indexed="12"/>
      <sz val="11"/>
      <u val="single"/>
    </font>
    <font>
      <name val="Arial"/>
      <family val="2"/>
      <sz val="10"/>
    </font>
    <font>
      <name val="Arial"/>
      <family val="2"/>
      <color indexed="8"/>
      <sz val="12"/>
    </font>
    <font>
      <name val="Arial"/>
      <family val="2"/>
      <sz val="12"/>
    </font>
    <font>
      <name val="Arial"/>
      <family val="2"/>
      <sz val="10"/>
    </font>
    <font>
      <name val="Arial"/>
      <family val="2"/>
      <b val="1"/>
      <color indexed="8"/>
      <sz val="10"/>
    </font>
    <font>
      <name val="Calibri"/>
      <family val="2"/>
      <color indexed="8"/>
      <sz val="11"/>
    </font>
    <font>
      <name val="Arial"/>
      <family val="2"/>
      <color indexed="12"/>
      <sz val="10"/>
      <u val="single"/>
    </font>
    <font>
      <name val="Calibri"/>
      <family val="2"/>
      <color indexed="8"/>
      <sz val="10"/>
    </font>
    <font>
      <name val="MS Sans Serif"/>
      <family val="2"/>
      <color indexed="8"/>
      <sz val="10"/>
    </font>
    <font>
      <name val="Arial"/>
      <family val="2"/>
      <b val="1"/>
      <sz val="12"/>
    </font>
    <font>
      <name val="Arial"/>
      <family val="2"/>
      <color indexed="8"/>
      <sz val="10"/>
    </font>
    <font>
      <name val="Arial"/>
      <family val="2"/>
      <b val="1"/>
      <color indexed="12"/>
      <sz val="12"/>
      <u val="single"/>
    </font>
    <font>
      <name val="Calibri"/>
      <family val="2"/>
      <b val="1"/>
      <color indexed="12"/>
      <sz val="11"/>
      <u val="single"/>
    </font>
    <font>
      <name val="Verdana"/>
      <family val="2"/>
      <sz val="10"/>
    </font>
    <font>
      <name val="Arial"/>
      <family val="2"/>
      <b val="1"/>
      <i val="1"/>
      <sz val="10"/>
    </font>
    <font>
      <name val="Arial"/>
      <family val="2"/>
      <i val="1"/>
      <sz val="10"/>
    </font>
    <font>
      <name val="Arial"/>
      <family val="2"/>
      <color indexed="10"/>
      <sz val="12"/>
    </font>
    <font>
      <name val="Arial"/>
      <family val="2"/>
      <b val="1"/>
      <color indexed="10"/>
      <sz val="12"/>
    </font>
    <font>
      <name val="Arial"/>
      <family val="2"/>
      <b val="1"/>
      <sz val="8"/>
    </font>
    <font>
      <name val="Arial"/>
      <family val="2"/>
      <sz val="8"/>
    </font>
    <font>
      <name val="Calibri"/>
      <family val="2"/>
      <color theme="1"/>
      <sz val="11"/>
      <scheme val="minor"/>
    </font>
    <font>
      <name val="Calibri"/>
      <family val="2"/>
      <color theme="0"/>
      <sz val="11"/>
      <scheme val="minor"/>
    </font>
    <font>
      <name val="Calibri"/>
      <family val="2"/>
      <color rgb="FF000000"/>
      <sz val="11"/>
    </font>
    <font>
      <name val="Calibri"/>
      <family val="2"/>
      <b val="1"/>
      <color theme="1"/>
      <sz val="11"/>
      <scheme val="minor"/>
    </font>
    <font>
      <name val="Arial"/>
      <family val="2"/>
      <color theme="1"/>
      <sz val="11"/>
    </font>
    <font>
      <name val="Arial"/>
      <family val="2"/>
      <b val="1"/>
      <color theme="1"/>
      <sz val="12"/>
    </font>
    <font>
      <name val="Arial"/>
      <family val="2"/>
      <color theme="1"/>
      <sz val="12"/>
    </font>
    <font>
      <name val="Arial"/>
      <family val="2"/>
      <b val="1"/>
      <color rgb="FF000000"/>
      <sz val="12"/>
    </font>
    <font>
      <name val="Arial"/>
      <family val="2"/>
      <b val="1"/>
      <color theme="4"/>
      <sz val="22"/>
    </font>
    <font>
      <name val="Arial"/>
      <family val="2"/>
      <color rgb="FF000000"/>
      <sz val="12"/>
    </font>
    <font>
      <name val="Arial"/>
      <family val="2"/>
      <color theme="1"/>
      <sz val="10"/>
    </font>
    <font>
      <name val="Arial"/>
      <family val="2"/>
      <b val="1"/>
      <color rgb="FF002060"/>
      <sz val="12"/>
    </font>
    <font>
      <name val="Calibri"/>
      <family val="2"/>
      <color theme="1"/>
      <sz val="10"/>
      <scheme val="minor"/>
    </font>
    <font>
      <name val="Calibri"/>
      <family val="2"/>
      <b val="1"/>
      <color theme="1"/>
      <sz val="9"/>
      <scheme val="minor"/>
    </font>
    <font>
      <name val="Calibri"/>
      <family val="2"/>
      <color theme="1"/>
      <sz val="9"/>
      <scheme val="minor"/>
    </font>
    <font>
      <name val="Arial"/>
      <family val="2"/>
      <b val="1"/>
      <color theme="0"/>
      <sz val="12"/>
    </font>
    <font>
      <name val="Arial"/>
      <family val="2"/>
      <b val="1"/>
      <color theme="0"/>
      <sz val="10"/>
    </font>
    <font>
      <name val="Helvetica"/>
      <family val="2"/>
      <color theme="1"/>
      <sz val="9"/>
    </font>
    <font>
      <name val="Calibri"/>
      <family val="2"/>
      <color theme="1"/>
      <sz val="8"/>
      <scheme val="minor"/>
    </font>
    <font>
      <name val="Arial"/>
      <family val="2"/>
      <color theme="1"/>
      <sz val="8"/>
    </font>
    <font>
      <name val="Arial"/>
      <family val="2"/>
      <b val="1"/>
      <color theme="1"/>
      <sz val="8"/>
    </font>
    <font>
      <name val="Calibri"/>
      <family val="2"/>
      <b val="1"/>
      <color theme="0"/>
      <sz val="8"/>
      <u val="single"/>
    </font>
    <font>
      <name val="Calibri"/>
      <family val="2"/>
      <b val="1"/>
      <color theme="1"/>
      <sz val="10"/>
      <scheme val="minor"/>
    </font>
    <font>
      <name val="Arial"/>
      <family val="2"/>
      <b val="1"/>
      <color rgb="FF002060"/>
      <sz val="16"/>
    </font>
    <font>
      <name val="Arial"/>
      <family val="2"/>
      <b val="1"/>
      <color theme="1"/>
      <sz val="11"/>
    </font>
    <font>
      <name val="Arial"/>
      <family val="2"/>
      <b val="1"/>
      <color theme="1"/>
      <sz val="10"/>
    </font>
    <font>
      <name val="Arial"/>
      <family val="2"/>
      <b val="1"/>
      <color theme="1"/>
      <sz val="9"/>
    </font>
    <font>
      <name val="Arial"/>
      <family val="2"/>
      <b val="1"/>
      <color theme="1"/>
      <sz val="12"/>
      <u val="single"/>
    </font>
    <font>
      <name val="Calibri"/>
      <family val="2"/>
      <color rgb="FF000000"/>
      <sz val="10"/>
    </font>
    <font>
      <name val="Tahoma"/>
      <family val="2"/>
      <b val="1"/>
      <color rgb="FF000000"/>
      <sz val="9"/>
    </font>
    <font>
      <name val="Calibri"/>
      <family val="2"/>
      <b val="1"/>
      <color rgb="FF000000"/>
      <sz val="9"/>
    </font>
    <font>
      <name val="Calibri"/>
      <family val="2"/>
      <color rgb="FF000000"/>
      <sz val="9"/>
    </font>
    <font>
      <name val="Calibri"/>
      <family val="2"/>
      <b val="1"/>
      <color rgb="FF000000"/>
      <sz val="10"/>
    </font>
    <font>
      <name val="Tahoma"/>
      <family val="2"/>
      <color rgb="FF000000"/>
      <sz val="10"/>
    </font>
    <font>
      <name val="Tahoma"/>
      <family val="2"/>
      <b val="1"/>
      <color rgb="FF000000"/>
      <sz val="10"/>
    </font>
    <font>
      <name val="Arial"/>
      <family val="2"/>
      <color rgb="FFFF0000"/>
      <sz val="12"/>
    </font>
    <font>
      <name val="Arial"/>
      <family val="2"/>
      <color theme="1"/>
      <sz val="9"/>
    </font>
    <font>
      <name val="Arial"/>
      <family val="2"/>
      <b val="1"/>
      <color theme="5" tint="-0.499984740745262"/>
      <sz val="12"/>
      <u val="single"/>
    </font>
    <font>
      <name val="Broadway"/>
      <family val="5"/>
      <b val="1"/>
      <color theme="1"/>
      <sz val="9"/>
    </font>
    <font>
      <name val="Arial"/>
      <family val="2"/>
      <b val="1"/>
      <color theme="0"/>
      <sz val="56"/>
    </font>
    <font>
      <name val="Broadway"/>
      <family val="5"/>
      <b val="1"/>
      <color theme="1"/>
      <sz val="14"/>
    </font>
    <font>
      <name val="Arial"/>
      <family val="2"/>
      <b val="1"/>
      <color theme="4" tint="-0.499984740745262"/>
      <sz val="12"/>
    </font>
    <font>
      <name val="Arial"/>
      <family val="2"/>
      <b val="1"/>
      <color theme="4" tint="-0.499984740745262"/>
      <sz val="12"/>
      <u val="single"/>
    </font>
    <font>
      <name val="Arial"/>
      <family val="2"/>
      <b val="1"/>
      <color rgb="FFFF0000"/>
      <sz val="9"/>
    </font>
    <font>
      <name val="Arial"/>
      <family val="2"/>
      <b val="1"/>
      <i val="1"/>
      <color theme="4" tint="-0.499984740745262"/>
      <sz val="12"/>
    </font>
    <font>
      <name val="Trebuchet MS"/>
      <family val="2"/>
      <sz val="8"/>
    </font>
    <font>
      <name val="Trebuchet MS"/>
      <family val="2"/>
      <color rgb="FF333333"/>
      <sz val="8"/>
    </font>
    <font>
      <name val="Arial"/>
      <family val="2"/>
      <b val="1"/>
      <color theme="0"/>
      <sz val="16"/>
    </font>
    <font>
      <name val="Arial"/>
      <family val="2"/>
      <color indexed="8"/>
      <sz val="14"/>
    </font>
    <font>
      <name val="Arial"/>
      <family val="2"/>
      <b val="1"/>
      <color indexed="8"/>
      <sz val="8"/>
    </font>
    <font>
      <name val="Arial"/>
      <family val="2"/>
      <b val="1"/>
      <sz val="11"/>
    </font>
    <font>
      <name val="Arial"/>
      <family val="2"/>
      <sz val="11"/>
    </font>
    <font>
      <name val="Arial"/>
      <family val="2"/>
      <b val="1"/>
      <color indexed="8"/>
      <sz val="12"/>
    </font>
    <font>
      <name val="Arial"/>
      <family val="2"/>
      <color indexed="10"/>
      <sz val="10"/>
    </font>
    <font>
      <name val="Calibri"/>
      <family val="2"/>
      <b val="1"/>
      <color theme="0"/>
      <sz val="11"/>
      <scheme val="minor"/>
    </font>
    <font>
      <name val="Helvetica"/>
      <family val="2"/>
      <i val="1"/>
      <color theme="0"/>
      <sz val="8"/>
    </font>
    <font>
      <name val="Arial"/>
      <family val="2"/>
      <color rgb="FFC00000"/>
      <sz val="12"/>
    </font>
    <font>
      <name val="Arial"/>
      <family val="2"/>
      <color theme="0"/>
      <sz val="11"/>
    </font>
    <font>
      <name val="Calibri"/>
      <family val="2"/>
      <sz val="8"/>
      <scheme val="minor"/>
    </font>
    <font>
      <name val="Arial"/>
      <family val="2"/>
      <b val="1"/>
      <color rgb="FFC00000"/>
      <sz val="8"/>
    </font>
    <font>
      <name val="Calibri"/>
      <family val="2"/>
      <b val="1"/>
      <color rgb="FFC00000"/>
      <sz val="11"/>
      <scheme val="minor"/>
    </font>
    <font>
      <name val="Arial"/>
      <family val="2"/>
      <b val="1"/>
      <color theme="0"/>
      <sz val="11"/>
    </font>
    <font>
      <b val="1"/>
      <color rgb="00CDAB7E"/>
      <sz val="16"/>
    </font>
    <font>
      <color rgb="00FFFFFF"/>
      <sz val="10"/>
    </font>
    <font>
      <color rgb="001E2432"/>
      <sz val="11"/>
      <u val="single"/>
    </font>
    <font>
      <i val="1"/>
      <color rgb="008A6D3B"/>
      <sz val="8"/>
    </font>
  </fonts>
  <fills count="41">
    <fill>
      <patternFill/>
    </fill>
    <fill>
      <patternFill patternType="gray125"/>
    </fill>
    <fill>
      <patternFill patternType="solid">
        <fgColor theme="3" tint="0.7999816888943144"/>
        <bgColor indexed="64"/>
      </patternFill>
    </fill>
    <fill>
      <patternFill patternType="solid">
        <fgColor theme="0" tint="-0.1499984740745262"/>
        <bgColor indexed="64"/>
      </patternFill>
    </fill>
    <fill>
      <patternFill patternType="solid">
        <fgColor theme="7" tint="0.5999938962981048"/>
        <bgColor indexed="64"/>
      </patternFill>
    </fill>
    <fill>
      <patternFill patternType="solid">
        <fgColor theme="2" tint="-0.09997863704336681"/>
        <bgColor indexed="64"/>
      </patternFill>
    </fill>
    <fill>
      <patternFill patternType="solid">
        <fgColor theme="8" tint="0.5999938962981048"/>
        <bgColor indexed="64"/>
      </patternFill>
    </fill>
    <fill>
      <patternFill patternType="solid">
        <fgColor theme="4" tint="0.7999816888943144"/>
        <bgColor indexed="64"/>
      </patternFill>
    </fill>
    <fill>
      <patternFill patternType="solid">
        <fgColor theme="4" tint="0.5999938962981048"/>
        <bgColor indexed="64"/>
      </patternFill>
    </fill>
    <fill>
      <patternFill patternType="solid">
        <fgColor theme="6" tint="0.7999816888943144"/>
        <bgColor indexed="64"/>
      </patternFill>
    </fill>
    <fill>
      <patternFill patternType="solid">
        <fgColor theme="6" tint="0.5999938962981048"/>
        <bgColor indexed="64"/>
      </patternFill>
    </fill>
    <fill>
      <patternFill patternType="solid">
        <fgColor theme="0" tint="-0.0499893185216834"/>
        <bgColor indexed="64"/>
      </patternFill>
    </fill>
    <fill>
      <patternFill patternType="solid">
        <fgColor rgb="FF002060"/>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6" tint="-0.249977111117893"/>
        <bgColor indexed="64"/>
      </patternFill>
    </fill>
    <fill>
      <patternFill patternType="solid">
        <fgColor theme="8" tint="0.7999816888943144"/>
        <bgColor indexed="64"/>
      </patternFill>
    </fill>
    <fill>
      <patternFill patternType="solid">
        <fgColor theme="2" tint="-0.249977111117893"/>
        <bgColor indexed="64"/>
      </patternFill>
    </fill>
    <fill>
      <patternFill patternType="solid">
        <fgColor theme="3" tint="0.5999938962981048"/>
        <bgColor indexed="64"/>
      </patternFill>
    </fill>
    <fill>
      <patternFill patternType="solid">
        <fgColor theme="3" tint="0.3999755851924192"/>
        <bgColor indexed="64"/>
      </patternFill>
    </fill>
    <fill>
      <patternFill patternType="solid">
        <fgColor theme="2"/>
        <bgColor indexed="64"/>
      </patternFill>
    </fill>
    <fill>
      <patternFill patternType="solid">
        <fgColor theme="6" tint="0.3999755851924192"/>
        <bgColor indexed="64"/>
      </patternFill>
    </fill>
    <fill>
      <patternFill patternType="solid">
        <fgColor theme="0"/>
        <bgColor indexed="64"/>
      </patternFill>
    </fill>
    <fill>
      <patternFill patternType="solid">
        <fgColor theme="7" tint="0.7999816888943144"/>
        <bgColor indexed="64"/>
      </patternFill>
    </fill>
    <fill>
      <patternFill patternType="solid">
        <fgColor theme="4" tint="0.3999755851924192"/>
        <bgColor indexed="64"/>
      </patternFill>
    </fill>
    <fill>
      <patternFill patternType="solid">
        <fgColor rgb="FFFFFF00"/>
        <bgColor indexed="64"/>
      </patternFill>
    </fill>
    <fill>
      <patternFill patternType="solid">
        <fgColor rgb="FF336699"/>
        <bgColor indexed="64"/>
      </patternFill>
    </fill>
    <fill>
      <patternFill patternType="solid">
        <fgColor rgb="FFF5FCEA"/>
        <bgColor indexed="64"/>
      </patternFill>
    </fill>
    <fill>
      <patternFill patternType="solid">
        <fgColor theme="4"/>
        <bgColor indexed="64"/>
      </patternFill>
    </fill>
    <fill>
      <patternFill patternType="solid">
        <fgColor theme="5" tint="0.5999938962981048"/>
        <bgColor indexed="64"/>
      </patternFill>
    </fill>
    <fill>
      <patternFill patternType="solid">
        <fgColor rgb="FFFFFFCC"/>
        <bgColor indexed="64"/>
      </patternFill>
    </fill>
    <fill>
      <patternFill patternType="solid">
        <fgColor theme="9" tint="0.7999816888943144"/>
        <bgColor indexed="64"/>
      </patternFill>
    </fill>
    <fill>
      <patternFill patternType="solid">
        <fgColor theme="3"/>
        <bgColor indexed="64"/>
      </patternFill>
    </fill>
    <fill>
      <patternFill patternType="solid">
        <fgColor theme="3" tint="0.09997863704336681"/>
        <bgColor indexed="64"/>
      </patternFill>
    </fill>
    <fill>
      <patternFill patternType="solid">
        <fgColor rgb="FFD0E0E3"/>
        <bgColor indexed="64"/>
      </patternFill>
    </fill>
    <fill>
      <patternFill patternType="solid">
        <fgColor theme="5" tint="-0.499984740745262"/>
        <bgColor indexed="64"/>
      </patternFill>
    </fill>
    <fill>
      <patternFill patternType="solid">
        <fgColor rgb="FF00B0F0"/>
        <bgColor indexed="64"/>
      </patternFill>
    </fill>
    <fill>
      <patternFill patternType="solid">
        <fgColor theme="5" tint="0.3999755851924192"/>
        <bgColor indexed="64"/>
      </patternFill>
    </fill>
    <fill>
      <patternFill patternType="solid">
        <fgColor rgb="001E2432"/>
      </patternFill>
    </fill>
    <fill>
      <patternFill patternType="solid">
        <fgColor rgb="00F7F5F1"/>
      </patternFill>
    </fill>
  </fills>
  <borders count="10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rgb="FFFF0000"/>
      </right>
      <top style="medium">
        <color rgb="FFFF0000"/>
      </top>
      <bottom style="thin">
        <color indexed="64"/>
      </bottom>
      <diagonal/>
    </border>
    <border>
      <left style="thin">
        <color indexed="64"/>
      </left>
      <right style="medium">
        <color rgb="FF92D050"/>
      </right>
      <top style="medium">
        <color rgb="FF92D050"/>
      </top>
      <bottom style="thin">
        <color indexed="64"/>
      </bottom>
      <diagonal/>
    </border>
    <border>
      <left style="thin">
        <color indexed="64"/>
      </left>
      <right style="medium">
        <color rgb="FF92D050"/>
      </right>
      <top style="thin">
        <color indexed="64"/>
      </top>
      <bottom style="thin">
        <color indexed="64"/>
      </bottom>
      <diagonal/>
    </border>
    <border>
      <left style="thin">
        <color indexed="64"/>
      </left>
      <right style="thick">
        <color theme="7" tint="-0.249946592608417"/>
      </right>
      <top style="thick">
        <color theme="7" tint="-0.249946592608417"/>
      </top>
      <bottom style="thin">
        <color indexed="64"/>
      </bottom>
      <diagonal/>
    </border>
    <border>
      <left style="thin">
        <color indexed="64"/>
      </left>
      <right style="thick">
        <color theme="7" tint="-0.249946592608417"/>
      </right>
      <top style="thin">
        <color indexed="64"/>
      </top>
      <bottom style="thin">
        <color indexed="64"/>
      </bottom>
      <diagonal/>
    </border>
    <border>
      <left style="thin">
        <color indexed="64"/>
      </left>
      <right style="thick">
        <color theme="7" tint="-0.249946592608417"/>
      </right>
      <top style="thin">
        <color indexed="64"/>
      </top>
      <bottom style="thick">
        <color theme="7" tint="-0.249946592608417"/>
      </bottom>
      <diagonal/>
    </border>
    <border>
      <left style="thin">
        <color indexed="64"/>
      </left>
      <right style="thick">
        <color rgb="FF6666FF"/>
      </right>
      <top style="thick">
        <color rgb="FF6666FF"/>
      </top>
      <bottom style="thin">
        <color indexed="64"/>
      </bottom>
      <diagonal/>
    </border>
    <border>
      <left style="thin">
        <color indexed="64"/>
      </left>
      <right style="thick">
        <color rgb="FF6666FF"/>
      </right>
      <top style="thin">
        <color indexed="64"/>
      </top>
      <bottom style="thin">
        <color indexed="64"/>
      </bottom>
      <diagonal/>
    </border>
    <border>
      <left style="thin">
        <color indexed="64"/>
      </left>
      <right style="thick">
        <color rgb="FF6666FF"/>
      </right>
      <top style="thin">
        <color indexed="64"/>
      </top>
      <bottom style="thick">
        <color rgb="FF6666FF"/>
      </bottom>
      <diagonal/>
    </border>
    <border>
      <left style="thin">
        <color indexed="64"/>
      </left>
      <right style="medium">
        <color rgb="FFFF0000"/>
      </right>
      <top style="thin">
        <color indexed="64"/>
      </top>
      <bottom style="medium">
        <color rgb="FFFF0000"/>
      </bottom>
      <diagonal/>
    </border>
    <border>
      <left style="thin">
        <color indexed="64"/>
      </left>
      <right style="medium">
        <color rgb="FF92D050"/>
      </right>
      <top style="thin">
        <color indexed="64"/>
      </top>
      <bottom style="medium">
        <color rgb="FF92D050"/>
      </bottom>
      <diagonal/>
    </border>
    <border>
      <left/>
      <right/>
      <top style="thin">
        <color indexed="64"/>
      </top>
      <bottom style="medium">
        <color rgb="FFFF0000"/>
      </bottom>
      <diagonal/>
    </border>
    <border>
      <left/>
      <right style="thin">
        <color indexed="64"/>
      </right>
      <top style="thin">
        <color indexed="64"/>
      </top>
      <bottom style="medium">
        <color rgb="FFFF0000"/>
      </bottom>
      <diagonal/>
    </border>
    <border>
      <left/>
      <right/>
      <top style="thin">
        <color indexed="64"/>
      </top>
      <bottom style="medium">
        <color rgb="FF92D050"/>
      </bottom>
      <diagonal/>
    </border>
    <border>
      <left/>
      <right style="thin">
        <color indexed="64"/>
      </right>
      <top style="thin">
        <color indexed="64"/>
      </top>
      <bottom style="medium">
        <color rgb="FF92D050"/>
      </bottom>
      <diagonal/>
    </border>
    <border>
      <left/>
      <right/>
      <top style="medium">
        <color rgb="FF92D050"/>
      </top>
      <bottom style="thin">
        <color indexed="64"/>
      </bottom>
      <diagonal/>
    </border>
    <border>
      <left/>
      <right style="thin">
        <color indexed="64"/>
      </right>
      <top style="medium">
        <color rgb="FF92D050"/>
      </top>
      <bottom style="thin">
        <color indexed="64"/>
      </bottom>
      <diagonal/>
    </border>
    <border>
      <left style="thick">
        <color theme="7" tint="-0.249946592608417"/>
      </left>
      <right/>
      <top style="thick">
        <color theme="7" tint="-0.249946592608417"/>
      </top>
      <bottom style="thin">
        <color indexed="64"/>
      </bottom>
      <diagonal/>
    </border>
    <border>
      <left/>
      <right/>
      <top style="thick">
        <color theme="7" tint="-0.249946592608417"/>
      </top>
      <bottom style="thin">
        <color indexed="64"/>
      </bottom>
      <diagonal/>
    </border>
    <border>
      <left/>
      <right style="thin">
        <color indexed="64"/>
      </right>
      <top style="thick">
        <color theme="7" tint="-0.249946592608417"/>
      </top>
      <bottom style="thin">
        <color indexed="64"/>
      </bottom>
      <diagonal/>
    </border>
    <border>
      <left style="thick">
        <color theme="7" tint="-0.249946592608417"/>
      </left>
      <right/>
      <top style="thin">
        <color indexed="64"/>
      </top>
      <bottom style="thin">
        <color indexed="64"/>
      </bottom>
      <diagonal/>
    </border>
    <border>
      <left style="thick">
        <color theme="7" tint="-0.249946592608417"/>
      </left>
      <right/>
      <top style="thin">
        <color indexed="64"/>
      </top>
      <bottom style="thick">
        <color theme="7" tint="-0.249946592608417"/>
      </bottom>
      <diagonal/>
    </border>
    <border>
      <left/>
      <right/>
      <top style="thin">
        <color indexed="64"/>
      </top>
      <bottom style="thick">
        <color theme="7" tint="-0.249946592608417"/>
      </bottom>
      <diagonal/>
    </border>
    <border>
      <left/>
      <right style="thin">
        <color indexed="64"/>
      </right>
      <top style="thin">
        <color indexed="64"/>
      </top>
      <bottom style="thick">
        <color theme="7" tint="-0.249946592608417"/>
      </bottom>
      <diagonal/>
    </border>
    <border>
      <left style="thick">
        <color rgb="FF6666FF"/>
      </left>
      <right/>
      <top style="thick">
        <color rgb="FF6666FF"/>
      </top>
      <bottom style="thin">
        <color indexed="64"/>
      </bottom>
      <diagonal/>
    </border>
    <border>
      <left/>
      <right/>
      <top style="thick">
        <color rgb="FF6666FF"/>
      </top>
      <bottom style="thin">
        <color indexed="64"/>
      </bottom>
      <diagonal/>
    </border>
    <border>
      <left/>
      <right style="thin">
        <color indexed="64"/>
      </right>
      <top style="thick">
        <color rgb="FF6666FF"/>
      </top>
      <bottom style="thin">
        <color indexed="64"/>
      </bottom>
      <diagonal/>
    </border>
    <border>
      <left style="thick">
        <color rgb="FF6666FF"/>
      </left>
      <right/>
      <top style="thin">
        <color indexed="64"/>
      </top>
      <bottom style="thin">
        <color indexed="64"/>
      </bottom>
      <diagonal/>
    </border>
    <border>
      <left style="thick">
        <color rgb="FF6666FF"/>
      </left>
      <right/>
      <top style="thin">
        <color indexed="64"/>
      </top>
      <bottom style="thick">
        <color rgb="FF6666FF"/>
      </bottom>
      <diagonal/>
    </border>
    <border>
      <left/>
      <right/>
      <top style="thin">
        <color indexed="64"/>
      </top>
      <bottom style="thick">
        <color rgb="FF6666FF"/>
      </bottom>
      <diagonal/>
    </border>
    <border>
      <left/>
      <right style="thin">
        <color indexed="64"/>
      </right>
      <top style="thin">
        <color indexed="64"/>
      </top>
      <bottom style="thick">
        <color rgb="FF6666FF"/>
      </bottom>
      <diagonal/>
    </border>
    <border>
      <left/>
      <right/>
      <top style="medium">
        <color rgb="FFFF0000"/>
      </top>
      <bottom style="thin">
        <color indexed="64"/>
      </bottom>
      <diagonal/>
    </border>
    <border>
      <left/>
      <right style="thin">
        <color indexed="64"/>
      </right>
      <top style="medium">
        <color rgb="FFFF0000"/>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theme="7" tint="-0.249977111117893"/>
      </left>
      <right style="thin">
        <color theme="7" tint="-0.249977111117893"/>
      </right>
      <top style="thin">
        <color theme="7" tint="-0.249977111117893"/>
      </top>
      <bottom style="thin">
        <color theme="7" tint="-0.249977111117893"/>
      </bottom>
      <diagonal/>
    </border>
    <border>
      <left style="thin">
        <color theme="7" tint="-0.249977111117893"/>
      </left>
      <right/>
      <top style="thin">
        <color theme="7" tint="-0.249977111117893"/>
      </top>
      <bottom style="thin">
        <color theme="7" tint="-0.249977111117893"/>
      </bottom>
      <diagonal/>
    </border>
    <border>
      <left/>
      <right/>
      <top style="thin">
        <color theme="7" tint="-0.249977111117893"/>
      </top>
      <bottom style="thin">
        <color theme="7" tint="-0.249977111117893"/>
      </bottom>
      <diagonal/>
    </border>
    <border>
      <left/>
      <right style="thin">
        <color theme="7" tint="-0.249977111117893"/>
      </right>
      <top style="thin">
        <color theme="7" tint="-0.249977111117893"/>
      </top>
      <bottom style="thin">
        <color theme="7" tint="-0.249977111117893"/>
      </bottom>
      <diagonal/>
    </border>
    <border>
      <left style="thin">
        <color indexed="64"/>
      </left>
      <right style="medium">
        <color indexed="64"/>
      </right>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thin">
        <color theme="7" tint="-0.249977111117893"/>
      </left>
      <right/>
      <top/>
      <bottom/>
      <diagonal/>
    </border>
    <border>
      <left style="thin">
        <color theme="7" tint="-0.249977111117893"/>
      </left>
      <right style="thin">
        <color theme="7" tint="-0.249977111117893"/>
      </right>
      <top/>
      <bottom/>
      <diagonal/>
    </border>
    <border>
      <left style="thin">
        <color theme="7" tint="-0.249977111117893"/>
      </left>
      <right style="thin">
        <color theme="7" tint="-0.249977111117893"/>
      </right>
      <top/>
      <bottom style="thin">
        <color theme="7" tint="-0.249977111117893"/>
      </bottom>
      <diagonal/>
    </border>
    <border>
      <left/>
      <right/>
      <top style="thin">
        <color theme="7" tint="-0.249977111117893"/>
      </top>
      <bottom/>
      <diagonal/>
    </border>
    <border>
      <left/>
      <right style="thin">
        <color theme="7" tint="-0.249977111117893"/>
      </right>
      <top style="thin">
        <color theme="7" tint="-0.249977111117893"/>
      </top>
      <bottom/>
      <diagonal/>
    </border>
    <border>
      <left/>
      <right style="thin">
        <color theme="7" tint="-0.249977111117893"/>
      </right>
      <top/>
      <bottom/>
      <diagonal/>
    </border>
    <border>
      <left style="thin">
        <color theme="7" tint="-0.249977111117893"/>
      </left>
      <right/>
      <top/>
      <bottom style="thin">
        <color theme="7" tint="-0.249977111117893"/>
      </bottom>
      <diagonal/>
    </border>
    <border>
      <left/>
      <right/>
      <top/>
      <bottom style="thin">
        <color theme="7" tint="-0.249977111117893"/>
      </bottom>
      <diagonal/>
    </border>
    <border>
      <left/>
      <right style="thin">
        <color theme="7" tint="-0.249977111117893"/>
      </right>
      <top/>
      <bottom style="thin">
        <color theme="7" tint="-0.249977111117893"/>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right/>
      <top style="medium">
        <color rgb="FF92D050"/>
      </top>
      <bottom/>
      <diagonal/>
    </border>
    <border>
      <left/>
      <right style="thin">
        <color indexed="64"/>
      </right>
      <top style="medium">
        <color rgb="FF92D050"/>
      </top>
      <bottom/>
      <diagonal/>
    </border>
    <border>
      <left/>
      <right/>
      <top style="medium">
        <color rgb="FFFF0000"/>
      </top>
      <bottom/>
      <diagonal/>
    </border>
    <border>
      <left/>
      <right style="thin">
        <color indexed="64"/>
      </right>
      <top style="medium">
        <color rgb="FFFF0000"/>
      </top>
      <bottom/>
      <diagonal/>
    </border>
    <border>
      <left style="thick">
        <color theme="7" tint="-0.249946592608417"/>
      </left>
      <right style="thin">
        <color indexed="64"/>
      </right>
      <top style="thick">
        <color theme="7" tint="-0.249946592608417"/>
      </top>
      <bottom style="thin">
        <color indexed="64"/>
      </bottom>
      <diagonal/>
    </border>
    <border>
      <left/>
      <right/>
      <top style="thick">
        <color theme="7" tint="-0.249946592608417"/>
      </top>
      <bottom/>
      <diagonal/>
    </border>
    <border>
      <left/>
      <right style="thin">
        <color indexed="64"/>
      </right>
      <top style="thick">
        <color theme="7" tint="-0.249946592608417"/>
      </top>
      <bottom/>
      <diagonal/>
    </border>
    <border>
      <left style="thick">
        <color theme="7" tint="-0.249946592608417"/>
      </left>
      <right style="thin">
        <color indexed="64"/>
      </right>
      <top style="thin">
        <color indexed="64"/>
      </top>
      <bottom style="thin">
        <color indexed="64"/>
      </bottom>
      <diagonal/>
    </border>
    <border>
      <left style="thick">
        <color theme="7" tint="-0.249946592608417"/>
      </left>
      <right style="thin">
        <color indexed="64"/>
      </right>
      <top style="thin">
        <color indexed="64"/>
      </top>
      <bottom style="thick">
        <color theme="7" tint="-0.249946592608417"/>
      </bottom>
      <diagonal/>
    </border>
    <border>
      <left style="thick">
        <color rgb="FF6666FF"/>
      </left>
      <right style="thin">
        <color indexed="64"/>
      </right>
      <top style="thin">
        <color indexed="64"/>
      </top>
      <bottom style="thin">
        <color indexed="64"/>
      </bottom>
      <diagonal/>
    </border>
    <border>
      <left style="thick">
        <color rgb="FF6666FF"/>
      </left>
      <right style="thin">
        <color indexed="64"/>
      </right>
      <top style="thin">
        <color indexed="64"/>
      </top>
      <bottom style="thick">
        <color rgb="FF6666FF"/>
      </bottom>
      <diagonal/>
    </border>
    <border>
      <left style="thick">
        <color rgb="FF6666FF"/>
      </left>
      <right style="thin">
        <color indexed="64"/>
      </right>
      <top style="thick">
        <color rgb="FF6666FF"/>
      </top>
      <bottom style="thin">
        <color indexed="64"/>
      </bottom>
      <diagonal/>
    </border>
    <border>
      <left/>
      <right/>
      <top style="thick">
        <color rgb="FF6666FF"/>
      </top>
      <bottom/>
      <diagonal/>
    </border>
    <border>
      <left/>
      <right style="thin">
        <color indexed="64"/>
      </right>
      <top style="thick">
        <color rgb="FF6666FF"/>
      </top>
      <bottom/>
      <diagonal/>
    </border>
  </borders>
  <cellStyleXfs count="44">
    <xf numFmtId="0" fontId="27" fillId="0" borderId="0"/>
    <xf numFmtId="169" fontId="12" fillId="0" borderId="0"/>
    <xf numFmtId="165" fontId="12" fillId="0" borderId="0"/>
    <xf numFmtId="177" fontId="12" fillId="0" borderId="0"/>
    <xf numFmtId="178" fontId="12" fillId="0" borderId="0"/>
    <xf numFmtId="179" fontId="10" fillId="0" borderId="0"/>
    <xf numFmtId="179" fontId="10" fillId="0" borderId="0"/>
    <xf numFmtId="0" fontId="6" fillId="0" borderId="0" applyAlignment="1" applyProtection="1">
      <alignment vertical="top"/>
      <protection locked="0" hidden="0"/>
    </xf>
    <xf numFmtId="0" fontId="13" fillId="0" borderId="0" applyAlignment="1" applyProtection="1">
      <alignment vertical="top"/>
      <protection locked="0" hidden="0"/>
    </xf>
    <xf numFmtId="0" fontId="6" fillId="0" borderId="0" applyAlignment="1" applyProtection="1">
      <alignment vertical="top"/>
      <protection locked="0" hidden="0"/>
    </xf>
    <xf numFmtId="0" fontId="13" fillId="0" borderId="0" applyAlignment="1" applyProtection="1">
      <alignment vertical="top"/>
      <protection locked="0" hidden="0"/>
    </xf>
    <xf numFmtId="0" fontId="6" fillId="0" borderId="0" applyAlignment="1" applyProtection="1">
      <alignment vertical="top"/>
      <protection locked="0" hidden="0"/>
    </xf>
    <xf numFmtId="180" fontId="10" fillId="0" borderId="0"/>
    <xf numFmtId="180" fontId="10" fillId="0" borderId="0"/>
    <xf numFmtId="169" fontId="12" fillId="0" borderId="0"/>
    <xf numFmtId="43" fontId="12" fillId="0" borderId="0"/>
    <xf numFmtId="181" fontId="12" fillId="0" borderId="0"/>
    <xf numFmtId="43" fontId="15" fillId="0" borderId="0"/>
    <xf numFmtId="181" fontId="10" fillId="0" borderId="0"/>
    <xf numFmtId="181" fontId="10" fillId="0" borderId="0"/>
    <xf numFmtId="181" fontId="10" fillId="0" borderId="0"/>
    <xf numFmtId="182" fontId="29" fillId="0" borderId="0"/>
    <xf numFmtId="177" fontId="12" fillId="0" borderId="0"/>
    <xf numFmtId="183" fontId="12" fillId="0" borderId="0"/>
    <xf numFmtId="0" fontId="10" fillId="0" borderId="0"/>
    <xf numFmtId="0" fontId="15" fillId="0" borderId="0"/>
    <xf numFmtId="0" fontId="10" fillId="0" borderId="0"/>
    <xf numFmtId="0" fontId="27" fillId="0" borderId="0"/>
    <xf numFmtId="0" fontId="10" fillId="0" borderId="0"/>
    <xf numFmtId="0" fontId="10" fillId="0" borderId="0"/>
    <xf numFmtId="0" fontId="14" fillId="0" borderId="0" applyAlignment="1">
      <alignment horizontal="left" vertical="top"/>
    </xf>
    <xf numFmtId="0" fontId="10" fillId="0" borderId="0"/>
    <xf numFmtId="0" fontId="14" fillId="0" borderId="0" applyAlignment="1">
      <alignment horizontal="left" vertical="top"/>
    </xf>
    <xf numFmtId="0" fontId="27" fillId="0" borderId="0"/>
    <xf numFmtId="9" fontId="12" fillId="0" borderId="0"/>
    <xf numFmtId="9" fontId="12" fillId="0" borderId="0"/>
    <xf numFmtId="9" fontId="10" fillId="0" borderId="0"/>
    <xf numFmtId="9" fontId="10" fillId="0" borderId="0"/>
    <xf numFmtId="9" fontId="12" fillId="0" borderId="0"/>
    <xf numFmtId="0" fontId="27" fillId="0" borderId="0"/>
    <xf numFmtId="42" fontId="27" fillId="0" borderId="0"/>
    <xf numFmtId="42" fontId="10" fillId="0" borderId="0"/>
    <xf numFmtId="41" fontId="27" fillId="0" borderId="0"/>
    <xf numFmtId="165" fontId="12" fillId="0" borderId="0"/>
  </cellStyleXfs>
  <cellXfs count="1151">
    <xf numFmtId="0" fontId="0" fillId="0" borderId="0" pivotButton="0" quotePrefix="0" xfId="0"/>
    <xf numFmtId="0" fontId="16" fillId="0" borderId="1" applyAlignment="1" pivotButton="0" quotePrefix="0" xfId="0">
      <alignment vertical="center" wrapText="1"/>
    </xf>
    <xf numFmtId="0" fontId="9" fillId="0" borderId="0" applyAlignment="1" pivotButton="0" quotePrefix="0" xfId="0">
      <alignment horizontal="right" vertical="center" wrapText="1"/>
    </xf>
    <xf numFmtId="3" fontId="33" fillId="0" borderId="1" pivotButton="0" quotePrefix="0" xfId="0"/>
    <xf numFmtId="3" fontId="4" fillId="0" borderId="0" applyAlignment="1" pivotButton="0" quotePrefix="0" xfId="0">
      <alignment horizontal="justify" vertical="center" wrapText="1"/>
    </xf>
    <xf numFmtId="3" fontId="33" fillId="0" borderId="0" pivotButton="0" quotePrefix="0" xfId="0"/>
    <xf numFmtId="3" fontId="32" fillId="0" borderId="0" pivotButton="0" quotePrefix="0" xfId="0"/>
    <xf numFmtId="0" fontId="9" fillId="0" borderId="1" applyAlignment="1" pivotButton="0" quotePrefix="0" xfId="0">
      <alignment vertical="center" wrapText="1"/>
    </xf>
    <xf numFmtId="3" fontId="34" fillId="0" borderId="1" applyAlignment="1" pivotButton="0" quotePrefix="0" xfId="0">
      <alignment horizontal="right" wrapText="1" readingOrder="1"/>
    </xf>
    <xf numFmtId="0" fontId="9" fillId="0" borderId="0" pivotButton="0" quotePrefix="0" xfId="0"/>
    <xf numFmtId="0" fontId="20" fillId="0" borderId="0" pivotButton="0" quotePrefix="0" xfId="0"/>
    <xf numFmtId="0" fontId="35" fillId="0" borderId="0" pivotButton="0" quotePrefix="0" xfId="0"/>
    <xf numFmtId="0" fontId="4" fillId="0" borderId="0" pivotButton="0" quotePrefix="0" xfId="0"/>
    <xf numFmtId="3" fontId="36" fillId="0" borderId="1" applyAlignment="1" pivotButton="0" quotePrefix="0" xfId="0">
      <alignment horizontal="right" wrapText="1" readingOrder="1"/>
    </xf>
    <xf numFmtId="0" fontId="34" fillId="0" borderId="1" applyAlignment="1" pivotButton="0" quotePrefix="0" xfId="0">
      <alignment horizontal="left" wrapText="1" readingOrder="1"/>
    </xf>
    <xf numFmtId="0" fontId="34" fillId="0" borderId="2" applyAlignment="1" pivotButton="0" quotePrefix="0" xfId="0">
      <alignment horizontal="center" wrapText="1" readingOrder="1"/>
    </xf>
    <xf numFmtId="0" fontId="33" fillId="0" borderId="0" pivotButton="0" quotePrefix="0" xfId="0"/>
    <xf numFmtId="3" fontId="4" fillId="0" borderId="0" pivotButton="0" quotePrefix="0" xfId="0"/>
    <xf numFmtId="164" fontId="4" fillId="0" borderId="0" pivotButton="0" quotePrefix="0" xfId="0"/>
    <xf numFmtId="0" fontId="36" fillId="0" borderId="2" applyAlignment="1" pivotButton="0" quotePrefix="0" xfId="0">
      <alignment horizontal="center" wrapText="1" readingOrder="1"/>
    </xf>
    <xf numFmtId="0" fontId="16" fillId="0" borderId="1" applyAlignment="1" pivotButton="0" quotePrefix="0" xfId="0">
      <alignment vertical="center"/>
    </xf>
    <xf numFmtId="164" fontId="16" fillId="0" borderId="1" applyAlignment="1" pivotButton="0" quotePrefix="0" xfId="4">
      <alignment horizontal="right" vertical="center" wrapText="1"/>
    </xf>
    <xf numFmtId="3" fontId="37" fillId="0" borderId="0" pivotButton="0" quotePrefix="0" xfId="0"/>
    <xf numFmtId="0" fontId="32" fillId="0" borderId="0" applyAlignment="1" pivotButton="0" quotePrefix="0" xfId="0">
      <alignment horizontal="center" vertical="center" wrapText="1"/>
    </xf>
    <xf numFmtId="0" fontId="33" fillId="0" borderId="1" pivotButton="0" quotePrefix="0" xfId="0"/>
    <xf numFmtId="3" fontId="17" fillId="0" borderId="1" applyAlignment="1" pivotButton="0" quotePrefix="0" xfId="0">
      <alignment horizontal="justify" vertical="top" wrapText="1"/>
    </xf>
    <xf numFmtId="3" fontId="3" fillId="0" borderId="0" applyAlignment="1" pivotButton="0" quotePrefix="0" xfId="0">
      <alignment horizontal="left" vertical="center" wrapText="1"/>
    </xf>
    <xf numFmtId="0" fontId="9" fillId="0" borderId="0" applyProtection="1" pivotButton="0" quotePrefix="0" xfId="0">
      <protection locked="0" hidden="0"/>
    </xf>
    <xf numFmtId="3" fontId="9" fillId="0" borderId="0" applyProtection="1" pivotButton="0" quotePrefix="0" xfId="18">
      <protection locked="0" hidden="0"/>
    </xf>
    <xf numFmtId="3" fontId="16" fillId="0" borderId="30" applyAlignment="1" pivotButton="0" quotePrefix="0" xfId="3">
      <alignment horizontal="right" vertical="center" wrapText="1"/>
    </xf>
    <xf numFmtId="3" fontId="16" fillId="0" borderId="31" applyAlignment="1" pivotButton="0" quotePrefix="0" xfId="3">
      <alignment horizontal="right" vertical="center" wrapText="1"/>
    </xf>
    <xf numFmtId="3" fontId="16" fillId="0" borderId="32" applyAlignment="1" pivotButton="0" quotePrefix="0" xfId="3">
      <alignment horizontal="right" vertical="center" wrapText="1"/>
    </xf>
    <xf numFmtId="3" fontId="16" fillId="0" borderId="34" applyAlignment="1" pivotButton="0" quotePrefix="0" xfId="3">
      <alignment horizontal="right" vertical="center" wrapText="1"/>
    </xf>
    <xf numFmtId="3" fontId="16" fillId="0" borderId="37" applyAlignment="1" pivotButton="0" quotePrefix="0" xfId="3">
      <alignment horizontal="right" vertical="center" wrapText="1"/>
    </xf>
    <xf numFmtId="3" fontId="18" fillId="0" borderId="38" applyAlignment="1" pivotButton="0" quotePrefix="0" xfId="11">
      <alignment horizontal="right" vertical="center" wrapText="1"/>
    </xf>
    <xf numFmtId="0" fontId="16" fillId="8" borderId="1" applyAlignment="1" pivotButton="0" quotePrefix="0" xfId="0">
      <alignment horizontal="center" vertical="center" wrapText="1"/>
    </xf>
    <xf numFmtId="0" fontId="16" fillId="5" borderId="1" applyAlignment="1" pivotButton="0" quotePrefix="0" xfId="0">
      <alignment horizontal="center" vertical="center" wrapText="1"/>
    </xf>
    <xf numFmtId="3" fontId="33" fillId="0" borderId="1" applyProtection="1" pivotButton="0" quotePrefix="0" xfId="0">
      <protection locked="0" hidden="0"/>
    </xf>
    <xf numFmtId="3" fontId="31" fillId="0" borderId="0" applyProtection="1" pivotButton="0" quotePrefix="0" xfId="0">
      <protection locked="0" hidden="0"/>
    </xf>
    <xf numFmtId="0" fontId="9" fillId="0" borderId="2" applyAlignment="1" applyProtection="1" pivotButton="0" quotePrefix="0" xfId="0">
      <alignment horizontal="left" vertical="center" wrapText="1"/>
      <protection locked="0" hidden="0"/>
    </xf>
    <xf numFmtId="0" fontId="16" fillId="5" borderId="3" applyAlignment="1" pivotButton="0" quotePrefix="0" xfId="0">
      <alignment horizontal="center" vertical="center" wrapText="1"/>
    </xf>
    <xf numFmtId="0" fontId="9" fillId="0" borderId="3" applyAlignment="1" applyProtection="1" pivotButton="0" quotePrefix="0" xfId="0">
      <alignment horizontal="left" vertical="center" wrapText="1"/>
      <protection locked="0" hidden="0"/>
    </xf>
    <xf numFmtId="0" fontId="9" fillId="0" borderId="1" applyAlignment="1" applyProtection="1" pivotButton="0" quotePrefix="0" xfId="0">
      <alignment horizontal="left" vertical="center" wrapText="1"/>
      <protection locked="0" hidden="0"/>
    </xf>
    <xf numFmtId="0" fontId="16" fillId="7" borderId="1" pivotButton="0" quotePrefix="0" xfId="0"/>
    <xf numFmtId="0" fontId="16" fillId="0" borderId="1" applyProtection="1" pivotButton="0" quotePrefix="0" xfId="0">
      <protection locked="0" hidden="0"/>
    </xf>
    <xf numFmtId="0" fontId="32" fillId="7" borderId="1" pivotButton="0" quotePrefix="0" xfId="0"/>
    <xf numFmtId="3" fontId="0" fillId="0" borderId="0" pivotButton="0" quotePrefix="0" xfId="0"/>
    <xf numFmtId="0" fontId="0" fillId="0" borderId="1" pivotButton="0" quotePrefix="0" xfId="0"/>
    <xf numFmtId="3" fontId="0" fillId="0" borderId="1" pivotButton="0" quotePrefix="0" xfId="0"/>
    <xf numFmtId="3" fontId="33" fillId="0" borderId="0" applyAlignment="1" applyProtection="1" pivotButton="0" quotePrefix="0" xfId="0">
      <alignment vertical="center" wrapText="1"/>
      <protection locked="0" hidden="0"/>
    </xf>
    <xf numFmtId="9" fontId="0" fillId="0" borderId="1" pivotButton="0" quotePrefix="0" xfId="0"/>
    <xf numFmtId="0" fontId="44" fillId="0" borderId="1" pivotButton="0" quotePrefix="0" xfId="0"/>
    <xf numFmtId="3" fontId="33" fillId="0" borderId="18" pivotButton="0" quotePrefix="0" xfId="0"/>
    <xf numFmtId="3" fontId="33" fillId="0" borderId="19" pivotButton="0" quotePrefix="0" xfId="0"/>
    <xf numFmtId="3" fontId="33" fillId="0" borderId="20" pivotButton="0" quotePrefix="0" xfId="0"/>
    <xf numFmtId="165" fontId="27" fillId="0" borderId="0" pivotButton="0" quotePrefix="0" xfId="2"/>
    <xf numFmtId="164" fontId="18" fillId="0" borderId="0" applyAlignment="1" applyProtection="1" pivotButton="0" quotePrefix="0" xfId="11">
      <alignment horizontal="right" vertical="top"/>
      <protection locked="0" hidden="0"/>
    </xf>
    <xf numFmtId="0" fontId="28" fillId="13" borderId="11" pivotButton="0" quotePrefix="0" xfId="0"/>
    <xf numFmtId="0" fontId="28" fillId="13" borderId="1" pivotButton="0" quotePrefix="0" xfId="0"/>
    <xf numFmtId="165" fontId="27" fillId="0" borderId="1" pivotButton="0" quotePrefix="0" xfId="2"/>
    <xf numFmtId="9" fontId="27" fillId="0" borderId="1" applyAlignment="1" pivotButton="0" quotePrefix="0" xfId="34">
      <alignment horizontal="center"/>
    </xf>
    <xf numFmtId="3" fontId="39" fillId="11" borderId="14" pivotButton="0" quotePrefix="0" xfId="0"/>
    <xf numFmtId="3" fontId="4" fillId="0" borderId="1" applyAlignment="1" pivotButton="0" quotePrefix="0" xfId="0">
      <alignment horizontal="justify" vertical="center" wrapText="1"/>
    </xf>
    <xf numFmtId="165" fontId="0" fillId="0" borderId="0" pivotButton="0" quotePrefix="0" xfId="0"/>
    <xf numFmtId="0" fontId="42" fillId="13" borderId="1" applyAlignment="1" pivotButton="0" quotePrefix="0" xfId="0">
      <alignment horizontal="center" vertical="center" wrapText="1"/>
    </xf>
    <xf numFmtId="3" fontId="33" fillId="3" borderId="1" applyAlignment="1" pivotButton="0" quotePrefix="0" xfId="0">
      <alignment horizontal="right"/>
    </xf>
    <xf numFmtId="3" fontId="33" fillId="3" borderId="1" pivotButton="0" quotePrefix="0" xfId="0"/>
    <xf numFmtId="3" fontId="32" fillId="5" borderId="1" pivotButton="0" quotePrefix="0" xfId="0"/>
    <xf numFmtId="3" fontId="32" fillId="3" borderId="1" pivotButton="0" quotePrefix="0" xfId="0"/>
    <xf numFmtId="0" fontId="33" fillId="0" borderId="0" applyProtection="1" pivotButton="0" quotePrefix="0" xfId="0">
      <protection locked="0" hidden="0"/>
    </xf>
    <xf numFmtId="0" fontId="32" fillId="0" borderId="0" applyProtection="1" pivotButton="0" quotePrefix="0" xfId="0">
      <protection locked="0" hidden="0"/>
    </xf>
    <xf numFmtId="0" fontId="33" fillId="0" borderId="0" applyAlignment="1" applyProtection="1" pivotButton="0" quotePrefix="0" xfId="0">
      <alignment horizontal="justify" vertical="center" wrapText="1"/>
      <protection locked="0" hidden="0"/>
    </xf>
    <xf numFmtId="3" fontId="33" fillId="0" borderId="0" applyProtection="1" pivotButton="0" quotePrefix="0" xfId="0">
      <protection locked="0" hidden="0"/>
    </xf>
    <xf numFmtId="0" fontId="32" fillId="0" borderId="0" applyAlignment="1" applyProtection="1" pivotButton="0" quotePrefix="0" xfId="0">
      <alignment horizontal="justify" vertical="center" wrapText="1"/>
      <protection locked="0" hidden="0"/>
    </xf>
    <xf numFmtId="10" fontId="32" fillId="0" borderId="0" applyAlignment="1" applyProtection="1" pivotButton="0" quotePrefix="0" xfId="34">
      <alignment horizontal="center" vertical="center" wrapText="1"/>
      <protection locked="0" hidden="0"/>
    </xf>
    <xf numFmtId="3" fontId="32" fillId="0" borderId="0" applyProtection="1" pivotButton="0" quotePrefix="0" xfId="0">
      <protection locked="0" hidden="0"/>
    </xf>
    <xf numFmtId="0" fontId="16" fillId="7" borderId="2" applyProtection="1" pivotButton="0" quotePrefix="0" xfId="0">
      <protection locked="0" hidden="0"/>
    </xf>
    <xf numFmtId="165" fontId="33" fillId="0" borderId="0" applyProtection="1" pivotButton="0" quotePrefix="0" xfId="2">
      <protection locked="0" hidden="0"/>
    </xf>
    <xf numFmtId="0" fontId="32" fillId="7" borderId="5" applyProtection="1" pivotButton="0" quotePrefix="0" xfId="0">
      <protection locked="0" hidden="0"/>
    </xf>
    <xf numFmtId="3" fontId="9" fillId="3" borderId="1" pivotButton="0" quotePrefix="0" xfId="4"/>
    <xf numFmtId="3" fontId="16" fillId="3" borderId="1" pivotButton="0" quotePrefix="0" xfId="4"/>
    <xf numFmtId="3" fontId="16" fillId="7" borderId="1" pivotButton="0" quotePrefix="0" xfId="18"/>
    <xf numFmtId="3" fontId="16" fillId="7" borderId="1" pivotButton="0" quotePrefix="0" xfId="4"/>
    <xf numFmtId="9" fontId="9" fillId="0" borderId="1" applyAlignment="1" pivotButton="0" quotePrefix="0" xfId="0">
      <alignment horizontal="left"/>
    </xf>
    <xf numFmtId="9" fontId="16" fillId="0" borderId="1" pivotButton="0" quotePrefix="0" xfId="0"/>
    <xf numFmtId="0" fontId="33" fillId="0" borderId="1" applyAlignment="1" pivotButton="0" quotePrefix="0" xfId="0">
      <alignment horizontal="left"/>
    </xf>
    <xf numFmtId="0" fontId="16" fillId="0" borderId="1" pivotButton="0" quotePrefix="0" xfId="0"/>
    <xf numFmtId="0" fontId="0" fillId="0" borderId="1" applyAlignment="1" pivotButton="0" quotePrefix="0" xfId="0">
      <alignment horizontal="center"/>
    </xf>
    <xf numFmtId="3" fontId="30" fillId="0" borderId="1" pivotButton="0" quotePrefix="0" xfId="0"/>
    <xf numFmtId="165" fontId="32" fillId="7" borderId="1" pivotButton="0" quotePrefix="0" xfId="2"/>
    <xf numFmtId="3" fontId="32" fillId="5" borderId="22" pivotButton="0" quotePrefix="0" xfId="0"/>
    <xf numFmtId="3" fontId="32" fillId="5" borderId="7" pivotButton="0" quotePrefix="0" xfId="0"/>
    <xf numFmtId="3" fontId="32" fillId="5" borderId="5" pivotButton="0" quotePrefix="0" xfId="0"/>
    <xf numFmtId="0" fontId="30" fillId="10" borderId="1" applyAlignment="1" pivotButton="0" quotePrefix="0" xfId="0">
      <alignment horizontal="center"/>
    </xf>
    <xf numFmtId="0" fontId="0" fillId="10" borderId="1" pivotButton="0" quotePrefix="0" xfId="0"/>
    <xf numFmtId="0" fontId="0" fillId="10" borderId="1" applyAlignment="1" pivotButton="0" quotePrefix="0" xfId="0">
      <alignment horizontal="center"/>
    </xf>
    <xf numFmtId="3" fontId="0" fillId="10" borderId="1" pivotButton="0" quotePrefix="0" xfId="0"/>
    <xf numFmtId="3" fontId="30" fillId="10" borderId="1" pivotButton="0" quotePrefix="0" xfId="0"/>
    <xf numFmtId="9" fontId="0" fillId="0" borderId="0" pivotButton="0" quotePrefix="0" xfId="34"/>
    <xf numFmtId="165" fontId="0" fillId="0" borderId="0" pivotButton="0" quotePrefix="0" xfId="2"/>
    <xf numFmtId="0" fontId="30" fillId="0" borderId="0" pivotButton="0" quotePrefix="0" xfId="0"/>
    <xf numFmtId="3" fontId="30" fillId="0" borderId="0" pivotButton="0" quotePrefix="0" xfId="0"/>
    <xf numFmtId="3" fontId="3" fillId="0" borderId="1" applyAlignment="1" pivotButton="0" quotePrefix="0" xfId="0">
      <alignment horizontal="right" vertical="center" wrapText="1"/>
    </xf>
    <xf numFmtId="164" fontId="18" fillId="0" borderId="0" applyAlignment="1" pivotButton="0" quotePrefix="0" xfId="11">
      <alignment horizontal="right" vertical="top"/>
    </xf>
    <xf numFmtId="165" fontId="27" fillId="0" borderId="1" pivotButton="0" quotePrefix="0" xfId="2"/>
    <xf numFmtId="9" fontId="27" fillId="0" borderId="1" applyAlignment="1" pivotButton="0" quotePrefix="0" xfId="34">
      <alignment horizontal="center"/>
    </xf>
    <xf numFmtId="164" fontId="54" fillId="0" borderId="39" applyAlignment="1" pivotButton="0" quotePrefix="0" xfId="11">
      <alignment horizontal="right" vertical="top"/>
    </xf>
    <xf numFmtId="164" fontId="18" fillId="0" borderId="40" applyAlignment="1" pivotButton="0" quotePrefix="0" xfId="11">
      <alignment horizontal="right" vertical="top"/>
    </xf>
    <xf numFmtId="3" fontId="3" fillId="0" borderId="0" applyAlignment="1" pivotButton="0" quotePrefix="0" xfId="0">
      <alignment horizontal="justify" vertical="center" wrapText="1"/>
    </xf>
    <xf numFmtId="3" fontId="11" fillId="4" borderId="5" applyAlignment="1" pivotButton="0" quotePrefix="0" xfId="0">
      <alignment horizontal="center" vertical="center" wrapText="1"/>
    </xf>
    <xf numFmtId="3" fontId="3" fillId="4" borderId="1" applyAlignment="1" pivotButton="0" quotePrefix="0" xfId="1">
      <alignment horizontal="center" vertical="center" wrapText="1"/>
    </xf>
    <xf numFmtId="3" fontId="17" fillId="0" borderId="5" applyAlignment="1" pivotButton="0" quotePrefix="0" xfId="0">
      <alignment horizontal="center" vertical="center" wrapText="1"/>
    </xf>
    <xf numFmtId="3" fontId="4" fillId="0" borderId="1" applyAlignment="1" pivotButton="0" quotePrefix="0" xfId="1">
      <alignment horizontal="center" vertical="center" wrapText="1"/>
    </xf>
    <xf numFmtId="9" fontId="4" fillId="0" borderId="1" applyAlignment="1" pivotButton="0" quotePrefix="0" xfId="34">
      <alignment horizontal="center" vertical="center" wrapText="1"/>
    </xf>
    <xf numFmtId="166" fontId="4" fillId="0" borderId="1" applyAlignment="1" pivotButton="0" quotePrefix="0" xfId="0">
      <alignment horizontal="center" vertical="center" wrapText="1"/>
    </xf>
    <xf numFmtId="167" fontId="4" fillId="0" borderId="1" applyAlignment="1" pivotButton="0" quotePrefix="0" xfId="18">
      <alignment horizontal="center" vertical="center" wrapText="1"/>
    </xf>
    <xf numFmtId="167" fontId="4" fillId="0" borderId="1" applyAlignment="1" pivotButton="0" quotePrefix="0" xfId="0">
      <alignment horizontal="center" vertical="center" wrapText="1"/>
    </xf>
    <xf numFmtId="3" fontId="16" fillId="0" borderId="33" applyAlignment="1" pivotButton="0" quotePrefix="0" xfId="3">
      <alignment horizontal="right" vertical="center" wrapText="1"/>
    </xf>
    <xf numFmtId="164" fontId="18" fillId="0" borderId="35" applyAlignment="1" pivotButton="0" quotePrefix="0" xfId="11">
      <alignment horizontal="right" vertical="top"/>
    </xf>
    <xf numFmtId="3" fontId="11" fillId="0" borderId="1" applyAlignment="1" pivotButton="0" quotePrefix="0" xfId="0">
      <alignment horizontal="center" vertical="center" wrapText="1"/>
    </xf>
    <xf numFmtId="3" fontId="3" fillId="0" borderId="1" applyAlignment="1" pivotButton="0" quotePrefix="0" xfId="1">
      <alignment horizontal="center" vertical="center" wrapText="1"/>
    </xf>
    <xf numFmtId="3" fontId="17" fillId="0" borderId="1" applyAlignment="1" pivotButton="0" quotePrefix="0" xfId="0">
      <alignment horizontal="center" vertical="center" wrapText="1"/>
    </xf>
    <xf numFmtId="166" fontId="21" fillId="0" borderId="1" applyAlignment="1" pivotButton="0" quotePrefix="0" xfId="0">
      <alignment horizontal="center" vertical="center" wrapText="1"/>
    </xf>
    <xf numFmtId="3" fontId="4" fillId="0" borderId="0" applyAlignment="1" pivotButton="0" quotePrefix="0" xfId="0">
      <alignment horizontal="right" vertical="center" wrapText="1"/>
    </xf>
    <xf numFmtId="3" fontId="17" fillId="0" borderId="1" applyAlignment="1" pivotButton="0" quotePrefix="0" xfId="0">
      <alignment horizontal="left" vertical="top" wrapText="1"/>
    </xf>
    <xf numFmtId="167" fontId="22" fillId="0" borderId="1" applyAlignment="1" pivotButton="0" quotePrefix="0" xfId="18">
      <alignment horizontal="center" vertical="center" wrapText="1"/>
    </xf>
    <xf numFmtId="3" fontId="16" fillId="0" borderId="36" applyAlignment="1" pivotButton="0" quotePrefix="0" xfId="3">
      <alignment horizontal="right" vertical="center" wrapText="1"/>
    </xf>
    <xf numFmtId="3" fontId="16" fillId="0" borderId="37" applyAlignment="1" pivotButton="0" quotePrefix="0" xfId="0">
      <alignment horizontal="right" vertical="center" wrapText="1"/>
    </xf>
    <xf numFmtId="3" fontId="51" fillId="0" borderId="0" applyProtection="1" pivotButton="0" quotePrefix="0" xfId="0">
      <protection locked="0" hidden="0"/>
    </xf>
    <xf numFmtId="3" fontId="52" fillId="0" borderId="0" applyProtection="1" pivotButton="0" quotePrefix="0" xfId="0">
      <protection locked="0" hidden="0"/>
    </xf>
    <xf numFmtId="3" fontId="32" fillId="0" borderId="0" applyAlignment="1" applyProtection="1" pivotButton="0" quotePrefix="0" xfId="0">
      <alignment horizontal="center"/>
      <protection locked="0" hidden="0"/>
    </xf>
    <xf numFmtId="3" fontId="53" fillId="0" borderId="0" applyProtection="1" pivotButton="0" quotePrefix="0" xfId="0">
      <protection locked="0" hidden="0"/>
    </xf>
    <xf numFmtId="0" fontId="16" fillId="5" borderId="17" applyAlignment="1" pivotButton="0" quotePrefix="0" xfId="0">
      <alignment horizontal="center" vertical="center" wrapText="1"/>
    </xf>
    <xf numFmtId="165" fontId="0" fillId="24" borderId="0" pivotButton="0" quotePrefix="0" xfId="2"/>
    <xf numFmtId="165" fontId="0" fillId="9" borderId="0" pivotButton="0" quotePrefix="0" xfId="2"/>
    <xf numFmtId="3" fontId="32" fillId="14" borderId="1" applyAlignment="1" pivotButton="0" quotePrefix="0" xfId="0">
      <alignment vertical="center" wrapText="1"/>
    </xf>
    <xf numFmtId="0" fontId="33" fillId="0" borderId="0" applyAlignment="1" applyProtection="1" pivotButton="0" quotePrefix="0" xfId="0">
      <alignment horizontal="left" vertical="center" wrapText="1"/>
      <protection locked="0" hidden="0"/>
    </xf>
    <xf numFmtId="3" fontId="32" fillId="0" borderId="0" applyAlignment="1" applyProtection="1" pivotButton="0" quotePrefix="0" xfId="0">
      <alignment vertical="center" wrapText="1"/>
      <protection locked="0" hidden="0"/>
    </xf>
    <xf numFmtId="0" fontId="42" fillId="15" borderId="2" applyAlignment="1" pivotButton="0" quotePrefix="0" xfId="0">
      <alignment horizontal="center" vertical="center" wrapText="1"/>
    </xf>
    <xf numFmtId="0" fontId="43" fillId="15" borderId="1" applyAlignment="1" pivotButton="0" quotePrefix="0" xfId="0">
      <alignment horizontal="center" vertical="center" wrapText="1"/>
    </xf>
    <xf numFmtId="3" fontId="33" fillId="3" borderId="1" applyAlignment="1" pivotButton="0" quotePrefix="0" xfId="0">
      <alignment horizontal="right" vertical="center" wrapText="1"/>
    </xf>
    <xf numFmtId="3" fontId="33" fillId="3" borderId="1" applyAlignment="1" pivotButton="0" quotePrefix="0" xfId="0">
      <alignment vertical="center" wrapText="1"/>
    </xf>
    <xf numFmtId="3" fontId="32" fillId="0" borderId="1" applyAlignment="1" pivotButton="0" quotePrefix="0" xfId="0">
      <alignment vertical="center" wrapText="1"/>
    </xf>
    <xf numFmtId="0" fontId="32" fillId="0" borderId="0" applyAlignment="1" applyProtection="1" pivotButton="0" quotePrefix="0" xfId="0">
      <alignment horizontal="left" vertical="center" wrapText="1"/>
      <protection locked="0" hidden="0"/>
    </xf>
    <xf numFmtId="0" fontId="33" fillId="0" borderId="0" applyAlignment="1" applyProtection="1" pivotButton="0" quotePrefix="0" xfId="0">
      <alignment horizontal="center" vertical="center" wrapText="1"/>
      <protection locked="0" hidden="0"/>
    </xf>
    <xf numFmtId="0" fontId="42" fillId="13" borderId="2" applyAlignment="1" pivotButton="0" quotePrefix="0" xfId="0">
      <alignment horizontal="center" vertical="center" wrapText="1"/>
    </xf>
    <xf numFmtId="0" fontId="43" fillId="13" borderId="1" applyAlignment="1" pivotButton="0" quotePrefix="0" xfId="0">
      <alignment horizontal="center" vertical="center" wrapText="1"/>
    </xf>
    <xf numFmtId="3" fontId="33" fillId="11" borderId="1" applyAlignment="1" pivotButton="0" quotePrefix="0" xfId="0">
      <alignment horizontal="right" vertical="center" wrapText="1"/>
    </xf>
    <xf numFmtId="3" fontId="33" fillId="11" borderId="1" applyAlignment="1" pivotButton="0" quotePrefix="0" xfId="0">
      <alignment horizontal="right"/>
    </xf>
    <xf numFmtId="3" fontId="33" fillId="11" borderId="1" applyAlignment="1" pivotButton="0" quotePrefix="0" xfId="0">
      <alignment vertical="center" wrapText="1"/>
    </xf>
    <xf numFmtId="0" fontId="33" fillId="0" borderId="0" applyAlignment="1" applyProtection="1" pivotButton="0" quotePrefix="0" xfId="0">
      <alignment vertical="center" wrapText="1"/>
      <protection locked="0" hidden="0"/>
    </xf>
    <xf numFmtId="3" fontId="33" fillId="0" borderId="0" applyAlignment="1" applyProtection="1" pivotButton="0" quotePrefix="0" xfId="0">
      <alignment horizontal="right"/>
      <protection locked="0" hidden="0"/>
    </xf>
    <xf numFmtId="0" fontId="33" fillId="0" borderId="0" applyAlignment="1" applyProtection="1" pivotButton="0" quotePrefix="0" xfId="0">
      <alignment horizontal="right"/>
      <protection locked="0" hidden="0"/>
    </xf>
    <xf numFmtId="4" fontId="33" fillId="3" borderId="1" applyAlignment="1" pivotButton="0" quotePrefix="0" xfId="0">
      <alignment horizontal="center" vertical="center" wrapText="1"/>
    </xf>
    <xf numFmtId="3" fontId="32" fillId="3" borderId="1" applyAlignment="1" pivotButton="0" quotePrefix="0" xfId="0">
      <alignment horizontal="right" vertical="center" wrapText="1"/>
    </xf>
    <xf numFmtId="3" fontId="32" fillId="9" borderId="1" applyAlignment="1" applyProtection="1" pivotButton="0" quotePrefix="0" xfId="0">
      <alignment horizontal="center"/>
      <protection locked="0" hidden="0"/>
    </xf>
    <xf numFmtId="10" fontId="32" fillId="25" borderId="1" applyAlignment="1" applyProtection="1" pivotButton="0" quotePrefix="0" xfId="35">
      <alignment horizontal="center" vertical="center" wrapText="1"/>
      <protection locked="0" hidden="0"/>
    </xf>
    <xf numFmtId="3" fontId="32" fillId="9" borderId="1" applyAlignment="1" applyProtection="1" pivotButton="0" quotePrefix="0" xfId="0">
      <alignment horizontal="right"/>
      <protection locked="0" hidden="0"/>
    </xf>
    <xf numFmtId="3" fontId="31" fillId="0" borderId="1" applyProtection="1" pivotButton="0" quotePrefix="0" xfId="0">
      <protection locked="0" hidden="0"/>
    </xf>
    <xf numFmtId="3" fontId="32" fillId="9" borderId="1" applyProtection="1" pivotButton="0" quotePrefix="0" xfId="0">
      <protection locked="0" hidden="0"/>
    </xf>
    <xf numFmtId="0" fontId="0" fillId="0" borderId="64" pivotButton="0" quotePrefix="0" xfId="0"/>
    <xf numFmtId="168" fontId="17" fillId="0" borderId="65" applyAlignment="1" applyProtection="1" pivotButton="0" quotePrefix="0" xfId="0">
      <alignment horizontal="right" vertical="center" wrapText="1"/>
      <protection locked="0" hidden="0"/>
    </xf>
    <xf numFmtId="0" fontId="0" fillId="0" borderId="18" pivotButton="0" quotePrefix="0" xfId="0"/>
    <xf numFmtId="3" fontId="17" fillId="0" borderId="19" applyAlignment="1" applyProtection="1" pivotButton="0" quotePrefix="0" xfId="0">
      <alignment horizontal="justify" vertical="center" wrapText="1"/>
      <protection locked="0" hidden="0"/>
    </xf>
    <xf numFmtId="164" fontId="17" fillId="0" borderId="19" applyAlignment="1" applyProtection="1" pivotButton="0" quotePrefix="0" xfId="0">
      <alignment horizontal="justify" vertical="center" wrapText="1"/>
      <protection locked="0" hidden="0"/>
    </xf>
    <xf numFmtId="3" fontId="17" fillId="0" borderId="20" applyAlignment="1" applyProtection="1" pivotButton="0" quotePrefix="0" xfId="0">
      <alignment horizontal="justify" vertical="center" wrapText="1"/>
      <protection locked="0" hidden="0"/>
    </xf>
    <xf numFmtId="169" fontId="17" fillId="0" borderId="1" applyAlignment="1" applyProtection="1" pivotButton="0" quotePrefix="0" xfId="1">
      <alignment horizontal="justify" vertical="center" wrapText="1"/>
      <protection locked="0" hidden="0"/>
    </xf>
    <xf numFmtId="3" fontId="45" fillId="0" borderId="0" pivotButton="0" quotePrefix="0" xfId="0"/>
    <xf numFmtId="0" fontId="17" fillId="0" borderId="0" applyAlignment="1" pivotButton="0" quotePrefix="0" xfId="0">
      <alignment horizontal="justify" vertical="center" wrapText="1"/>
    </xf>
    <xf numFmtId="10" fontId="42" fillId="13" borderId="1" applyAlignment="1" pivotButton="0" quotePrefix="0" xfId="34">
      <alignment horizontal="center"/>
    </xf>
    <xf numFmtId="3" fontId="17" fillId="0" borderId="0" applyAlignment="1" pivotButton="0" quotePrefix="0" xfId="0">
      <alignment horizontal="justify" vertical="center" wrapText="1"/>
    </xf>
    <xf numFmtId="9" fontId="17" fillId="0" borderId="0" applyAlignment="1" pivotButton="0" quotePrefix="0" xfId="0">
      <alignment horizontal="justify" vertical="center" wrapText="1"/>
    </xf>
    <xf numFmtId="3" fontId="17" fillId="0" borderId="0" applyAlignment="1" pivotButton="0" quotePrefix="0" xfId="0">
      <alignment horizontal="right" vertical="center" wrapText="1"/>
    </xf>
    <xf numFmtId="170" fontId="25" fillId="0" borderId="1" applyAlignment="1" pivotButton="0" quotePrefix="0" xfId="0">
      <alignment horizontal="center" vertical="center" wrapText="1"/>
    </xf>
    <xf numFmtId="3" fontId="62" fillId="3" borderId="1" pivotButton="0" quotePrefix="0" xfId="0"/>
    <xf numFmtId="3" fontId="9" fillId="0" borderId="3" applyAlignment="1" applyProtection="1" pivotButton="0" quotePrefix="0" xfId="3">
      <alignment horizontal="right" vertical="center" wrapText="1"/>
      <protection locked="0" hidden="0"/>
    </xf>
    <xf numFmtId="3" fontId="9" fillId="0" borderId="3" applyAlignment="1" applyProtection="1" pivotButton="0" quotePrefix="0" xfId="22">
      <alignment horizontal="right" vertical="center" wrapText="1"/>
      <protection locked="0" hidden="0"/>
    </xf>
    <xf numFmtId="0" fontId="6" fillId="0" borderId="0" applyProtection="1" pivotButton="0" quotePrefix="0" xfId="11">
      <protection locked="0" hidden="0"/>
    </xf>
    <xf numFmtId="0" fontId="16" fillId="5" borderId="7" applyAlignment="1" pivotButton="0" quotePrefix="0" xfId="0">
      <alignment horizontal="center" vertical="center" wrapText="1"/>
    </xf>
    <xf numFmtId="0" fontId="16" fillId="5" borderId="5" applyAlignment="1" pivotButton="0" quotePrefix="0" xfId="0">
      <alignment horizontal="center" vertical="center" wrapText="1"/>
    </xf>
    <xf numFmtId="3" fontId="26" fillId="0" borderId="14" applyAlignment="1" pivotButton="0" quotePrefix="0" xfId="3">
      <alignment horizontal="right" vertical="center" wrapText="1"/>
    </xf>
    <xf numFmtId="3" fontId="37" fillId="0" borderId="1" applyAlignment="1" pivotButton="0" quotePrefix="0" xfId="29">
      <alignment horizontal="right"/>
    </xf>
    <xf numFmtId="164" fontId="3" fillId="0" borderId="0" pivotButton="0" quotePrefix="0" xfId="0"/>
    <xf numFmtId="3" fontId="33" fillId="3" borderId="3" applyAlignment="1" pivotButton="0" quotePrefix="0" xfId="0">
      <alignment horizontal="center"/>
    </xf>
    <xf numFmtId="0" fontId="41" fillId="0" borderId="0" pivotButton="0" quotePrefix="0" xfId="0"/>
    <xf numFmtId="0" fontId="41" fillId="0" borderId="0" applyAlignment="1" pivotButton="0" quotePrefix="0" xfId="0">
      <alignment horizontal="center"/>
    </xf>
    <xf numFmtId="0" fontId="40" fillId="17" borderId="1" applyAlignment="1" pivotButton="0" quotePrefix="0" xfId="0">
      <alignment horizontal="center" vertical="center"/>
    </xf>
    <xf numFmtId="0" fontId="40" fillId="17" borderId="1" applyAlignment="1" pivotButton="0" quotePrefix="0" xfId="0">
      <alignment horizontal="center" vertical="center" wrapText="1"/>
    </xf>
    <xf numFmtId="0" fontId="41" fillId="17" borderId="1" applyAlignment="1" pivotButton="0" quotePrefix="0" xfId="0">
      <alignment horizontal="center" vertical="center" wrapText="1"/>
    </xf>
    <xf numFmtId="0" fontId="40" fillId="17" borderId="1" applyAlignment="1" pivotButton="0" quotePrefix="0" xfId="0">
      <alignment vertical="center" wrapText="1"/>
    </xf>
    <xf numFmtId="0" fontId="41" fillId="0" borderId="1" applyAlignment="1" pivotButton="0" quotePrefix="0" xfId="0">
      <alignment horizontal="center" vertical="center"/>
    </xf>
    <xf numFmtId="0" fontId="41" fillId="17" borderId="1" applyAlignment="1" pivotButton="0" quotePrefix="0" xfId="0">
      <alignment horizontal="center" vertical="center"/>
    </xf>
    <xf numFmtId="0" fontId="40" fillId="0" borderId="1" applyAlignment="1" pivotButton="0" quotePrefix="0" xfId="0">
      <alignment horizontal="center" vertical="center"/>
    </xf>
    <xf numFmtId="0" fontId="41" fillId="0" borderId="1" applyAlignment="1" pivotButton="0" quotePrefix="0" xfId="0">
      <alignment horizontal="center" vertical="center" wrapText="1"/>
    </xf>
    <xf numFmtId="0" fontId="40" fillId="0" borderId="6" pivotButton="0" quotePrefix="0" xfId="0"/>
    <xf numFmtId="3" fontId="33" fillId="14" borderId="3" applyProtection="1" pivotButton="0" quotePrefix="0" xfId="0">
      <protection locked="0" hidden="0"/>
    </xf>
    <xf numFmtId="3" fontId="37" fillId="14" borderId="1" applyAlignment="1" pivotButton="0" quotePrefix="0" xfId="29">
      <alignment horizontal="right"/>
    </xf>
    <xf numFmtId="3" fontId="33" fillId="9" borderId="1" applyProtection="1" pivotButton="0" quotePrefix="0" xfId="0">
      <protection locked="0" hidden="0"/>
    </xf>
    <xf numFmtId="3" fontId="32" fillId="5" borderId="1" applyAlignment="1" pivotButton="0" quotePrefix="0" xfId="0">
      <alignment horizontal="left"/>
    </xf>
    <xf numFmtId="3" fontId="37" fillId="28" borderId="1" applyAlignment="1" pivotButton="0" quotePrefix="0" xfId="29">
      <alignment horizontal="right"/>
    </xf>
    <xf numFmtId="3" fontId="33" fillId="28" borderId="1" applyProtection="1" pivotButton="0" quotePrefix="0" xfId="0">
      <protection locked="0" hidden="0"/>
    </xf>
    <xf numFmtId="3" fontId="33" fillId="3" borderId="0" pivotButton="0" quotePrefix="0" xfId="0"/>
    <xf numFmtId="3" fontId="33" fillId="3" borderId="1" applyProtection="1" pivotButton="0" quotePrefix="0" xfId="0">
      <protection locked="0" hidden="0"/>
    </xf>
    <xf numFmtId="3" fontId="32" fillId="3" borderId="1" applyAlignment="1" applyProtection="1" pivotButton="0" quotePrefix="0" xfId="0">
      <alignment horizontal="center"/>
      <protection locked="0" hidden="0"/>
    </xf>
    <xf numFmtId="3" fontId="33" fillId="28" borderId="1" applyAlignment="1" applyProtection="1" pivotButton="0" quotePrefix="0" xfId="0">
      <alignment horizontal="right"/>
      <protection locked="0" hidden="0"/>
    </xf>
    <xf numFmtId="3" fontId="33" fillId="28" borderId="2" applyAlignment="1" applyProtection="1" pivotButton="0" quotePrefix="0" xfId="0">
      <alignment horizontal="left"/>
      <protection locked="0" hidden="0"/>
    </xf>
    <xf numFmtId="3" fontId="33" fillId="28" borderId="5" applyAlignment="1" applyProtection="1" pivotButton="0" quotePrefix="0" xfId="0">
      <alignment horizontal="left"/>
      <protection locked="0" hidden="0"/>
    </xf>
    <xf numFmtId="3" fontId="37" fillId="28" borderId="1" pivotButton="0" quotePrefix="0" xfId="29"/>
    <xf numFmtId="3" fontId="32" fillId="5" borderId="2" pivotButton="0" quotePrefix="0" xfId="0"/>
    <xf numFmtId="3" fontId="33" fillId="28" borderId="3" applyAlignment="1" applyProtection="1" pivotButton="0" quotePrefix="0" xfId="0">
      <alignment horizontal="center"/>
      <protection locked="0" hidden="0"/>
    </xf>
    <xf numFmtId="3" fontId="33" fillId="28" borderId="3" applyAlignment="1" applyProtection="1" pivotButton="0" quotePrefix="0" xfId="0">
      <alignment horizontal="right"/>
      <protection locked="0" hidden="0"/>
    </xf>
    <xf numFmtId="3" fontId="32" fillId="5" borderId="26" pivotButton="0" quotePrefix="0" xfId="0"/>
    <xf numFmtId="3" fontId="32" fillId="3" borderId="0" applyAlignment="1" applyProtection="1" pivotButton="0" quotePrefix="0" xfId="0">
      <alignment horizontal="center"/>
      <protection locked="0" hidden="0"/>
    </xf>
    <xf numFmtId="3" fontId="32" fillId="28" borderId="1" applyAlignment="1" pivotButton="0" quotePrefix="0" xfId="11">
      <alignment horizontal="center" vertical="center" wrapText="1"/>
    </xf>
    <xf numFmtId="3" fontId="32" fillId="28" borderId="2" applyAlignment="1" pivotButton="0" quotePrefix="0" xfId="0">
      <alignment vertical="center"/>
    </xf>
    <xf numFmtId="3" fontId="33" fillId="28" borderId="5" applyProtection="1" pivotButton="0" quotePrefix="0" xfId="0">
      <protection locked="0" hidden="0"/>
    </xf>
    <xf numFmtId="3" fontId="19" fillId="5" borderId="3" applyAlignment="1" pivotButton="0" quotePrefix="0" xfId="11">
      <alignment vertical="center" textRotation="90" wrapText="1"/>
    </xf>
    <xf numFmtId="3" fontId="19" fillId="5" borderId="1" applyAlignment="1" pivotButton="0" quotePrefix="0" xfId="11">
      <alignment vertical="center" textRotation="90" wrapText="1"/>
    </xf>
    <xf numFmtId="3" fontId="33" fillId="28" borderId="1" applyAlignment="1" applyProtection="1" pivotButton="0" quotePrefix="0" xfId="0">
      <alignment vertical="center" wrapText="1"/>
      <protection locked="0" hidden="0"/>
    </xf>
    <xf numFmtId="0" fontId="33" fillId="28" borderId="2" applyAlignment="1" applyProtection="1" pivotButton="0" quotePrefix="0" xfId="0">
      <alignment horizontal="center" vertical="center" wrapText="1"/>
      <protection locked="0" hidden="0"/>
    </xf>
    <xf numFmtId="0" fontId="33" fillId="28" borderId="2" applyAlignment="1" applyProtection="1" pivotButton="0" quotePrefix="0" xfId="0">
      <alignment vertical="center" wrapText="1"/>
      <protection locked="0" hidden="0"/>
    </xf>
    <xf numFmtId="0" fontId="32" fillId="28" borderId="2" applyAlignment="1" applyProtection="1" pivotButton="0" quotePrefix="0" xfId="0">
      <alignment horizontal="left" vertical="center" wrapText="1"/>
      <protection locked="0" hidden="0"/>
    </xf>
    <xf numFmtId="0" fontId="33" fillId="28" borderId="1" applyAlignment="1" applyProtection="1" pivotButton="0" quotePrefix="0" xfId="0">
      <alignment horizontal="justify" vertical="center" wrapText="1"/>
      <protection locked="0" hidden="0"/>
    </xf>
    <xf numFmtId="0" fontId="33" fillId="28" borderId="1" applyProtection="1" pivotButton="0" quotePrefix="0" xfId="0">
      <protection locked="0" hidden="0"/>
    </xf>
    <xf numFmtId="0" fontId="33" fillId="28" borderId="1" applyAlignment="1" applyProtection="1" pivotButton="0" quotePrefix="0" xfId="0">
      <alignment vertical="center" wrapText="1"/>
      <protection locked="0" hidden="0"/>
    </xf>
    <xf numFmtId="3" fontId="9" fillId="28" borderId="1" applyAlignment="1" applyProtection="1" pivotButton="0" quotePrefix="0" xfId="0">
      <alignment horizontal="right" vertical="center" wrapText="1"/>
      <protection locked="0" hidden="0"/>
    </xf>
    <xf numFmtId="3" fontId="16" fillId="28" borderId="1" applyAlignment="1" applyProtection="1" pivotButton="0" quotePrefix="0" xfId="0">
      <alignment horizontal="left" vertical="center" wrapText="1"/>
      <protection locked="0" hidden="0"/>
    </xf>
    <xf numFmtId="3" fontId="33" fillId="28" borderId="3" applyProtection="1" pivotButton="0" quotePrefix="0" xfId="0">
      <protection locked="0" hidden="0"/>
    </xf>
    <xf numFmtId="41" fontId="27" fillId="28" borderId="0" pivotButton="0" quotePrefix="0" xfId="42"/>
    <xf numFmtId="3" fontId="32" fillId="11" borderId="1" applyAlignment="1" pivotButton="0" quotePrefix="0" xfId="0">
      <alignment horizontal="left"/>
    </xf>
    <xf numFmtId="3" fontId="33" fillId="3" borderId="5" pivotButton="0" quotePrefix="0" xfId="0"/>
    <xf numFmtId="3" fontId="32" fillId="3" borderId="7" applyAlignment="1" pivotButton="0" quotePrefix="0" xfId="0">
      <alignment horizontal="center" vertical="center"/>
    </xf>
    <xf numFmtId="3" fontId="41" fillId="17" borderId="1" applyAlignment="1" pivotButton="0" quotePrefix="0" xfId="0">
      <alignment horizontal="right" vertical="center"/>
    </xf>
    <xf numFmtId="3" fontId="41" fillId="0" borderId="1" applyAlignment="1" pivotButton="0" quotePrefix="0" xfId="0">
      <alignment horizontal="right" vertical="center"/>
    </xf>
    <xf numFmtId="3" fontId="31" fillId="0" borderId="1" pivotButton="0" quotePrefix="0" xfId="0"/>
    <xf numFmtId="3" fontId="32" fillId="14" borderId="5" applyAlignment="1" pivotButton="0" quotePrefix="0" xfId="0">
      <alignment vertical="center"/>
    </xf>
    <xf numFmtId="3" fontId="32" fillId="0" borderId="1" pivotButton="0" quotePrefix="0" xfId="0"/>
    <xf numFmtId="0" fontId="0" fillId="0" borderId="21" pivotButton="0" quotePrefix="0" xfId="0"/>
    <xf numFmtId="3" fontId="63" fillId="0" borderId="1" pivotButton="0" quotePrefix="0" xfId="0"/>
    <xf numFmtId="0" fontId="32" fillId="0" borderId="2" applyAlignment="1" pivotButton="0" quotePrefix="0" xfId="0">
      <alignment vertical="center" wrapText="1"/>
    </xf>
    <xf numFmtId="0" fontId="32" fillId="0" borderId="7" applyAlignment="1" pivotButton="0" quotePrefix="0" xfId="0">
      <alignment vertical="center" wrapText="1"/>
    </xf>
    <xf numFmtId="171" fontId="6" fillId="5" borderId="1" applyAlignment="1" pivotButton="0" quotePrefix="0" xfId="11">
      <alignment textRotation="90"/>
    </xf>
    <xf numFmtId="3" fontId="6" fillId="5" borderId="6" applyAlignment="1" pivotButton="0" quotePrefix="0" xfId="11">
      <alignment vertical="center" textRotation="90" wrapText="1"/>
    </xf>
    <xf numFmtId="3" fontId="6" fillId="5" borderId="1" applyAlignment="1" pivotButton="0" quotePrefix="0" xfId="11">
      <alignment vertical="center" textRotation="90" wrapText="1"/>
    </xf>
    <xf numFmtId="0" fontId="40" fillId="0" borderId="22" pivotButton="0" quotePrefix="0" xfId="0"/>
    <xf numFmtId="3" fontId="63" fillId="0" borderId="6" pivotButton="0" quotePrefix="0" xfId="0"/>
    <xf numFmtId="3" fontId="53" fillId="0" borderId="1" pivotButton="0" quotePrefix="0" xfId="0"/>
    <xf numFmtId="3" fontId="70" fillId="0" borderId="1" pivotButton="0" quotePrefix="0" xfId="0"/>
    <xf numFmtId="165" fontId="53" fillId="0" borderId="1" pivotButton="0" quotePrefix="0" xfId="2"/>
    <xf numFmtId="165" fontId="0" fillId="0" borderId="0" applyAlignment="1" pivotButton="0" quotePrefix="0" xfId="2">
      <alignment horizontal="right"/>
    </xf>
    <xf numFmtId="3" fontId="18" fillId="3" borderId="1" pivotButton="0" quotePrefix="0" xfId="11"/>
    <xf numFmtId="3" fontId="46" fillId="9" borderId="1" pivotButton="0" quotePrefix="0" xfId="29"/>
    <xf numFmtId="3" fontId="26" fillId="9" borderId="1" applyAlignment="1" applyProtection="1" pivotButton="0" quotePrefix="0" xfId="3">
      <alignment horizontal="right" vertical="center" wrapText="1"/>
      <protection locked="0" hidden="0"/>
    </xf>
    <xf numFmtId="3" fontId="47" fillId="3" borderId="14" pivotButton="0" quotePrefix="0" xfId="0"/>
    <xf numFmtId="9" fontId="25" fillId="3" borderId="14" applyAlignment="1" pivotButton="0" quotePrefix="0" xfId="0">
      <alignment horizontal="center" vertical="center" wrapText="1"/>
    </xf>
    <xf numFmtId="3" fontId="26" fillId="3" borderId="14" applyAlignment="1" pivotButton="0" quotePrefix="0" xfId="3">
      <alignment horizontal="right" vertical="center" wrapText="1"/>
    </xf>
    <xf numFmtId="3" fontId="25" fillId="3" borderId="14" applyAlignment="1" pivotButton="0" quotePrefix="0" xfId="3">
      <alignment horizontal="right" vertical="center" wrapText="1"/>
    </xf>
    <xf numFmtId="3" fontId="25" fillId="3" borderId="14" applyAlignment="1" pivotButton="0" quotePrefix="0" xfId="0">
      <alignment horizontal="right" vertical="center" wrapText="1"/>
    </xf>
    <xf numFmtId="3" fontId="32" fillId="9" borderId="1" applyAlignment="1" applyProtection="1" pivotButton="0" quotePrefix="0" xfId="3">
      <alignment vertical="center"/>
      <protection locked="0" hidden="0"/>
    </xf>
    <xf numFmtId="3" fontId="38" fillId="9" borderId="1" applyAlignment="1" applyProtection="1" pivotButton="0" quotePrefix="0" xfId="0">
      <alignment horizontal="center" vertical="center"/>
      <protection locked="0" hidden="0"/>
    </xf>
    <xf numFmtId="3" fontId="0" fillId="10" borderId="0" pivotButton="0" quotePrefix="0" xfId="0"/>
    <xf numFmtId="0" fontId="72" fillId="0" borderId="11" applyAlignment="1" pivotButton="0" quotePrefix="0" xfId="0">
      <alignment horizontal="left" vertical="top" wrapText="1"/>
    </xf>
    <xf numFmtId="4" fontId="73" fillId="0" borderId="1" applyAlignment="1" pivotButton="0" quotePrefix="0" xfId="0">
      <alignment horizontal="left" vertical="top" shrinkToFit="1" indent="2"/>
    </xf>
    <xf numFmtId="4" fontId="73" fillId="0" borderId="14" applyAlignment="1" pivotButton="0" quotePrefix="0" xfId="0">
      <alignment horizontal="left" vertical="top" shrinkToFit="1" indent="2"/>
    </xf>
    <xf numFmtId="1" fontId="73" fillId="0" borderId="11" applyAlignment="1" pivotButton="0" quotePrefix="0" xfId="0">
      <alignment horizontal="left" vertical="top" shrinkToFit="1"/>
    </xf>
    <xf numFmtId="172" fontId="73" fillId="0" borderId="1" applyAlignment="1" pivotButton="0" quotePrefix="0" xfId="0">
      <alignment horizontal="left" vertical="top" shrinkToFit="1" indent="2"/>
    </xf>
    <xf numFmtId="2" fontId="73" fillId="0" borderId="1" applyAlignment="1" pivotButton="0" quotePrefix="0" xfId="0">
      <alignment horizontal="left" vertical="top" shrinkToFit="1" indent="2"/>
    </xf>
    <xf numFmtId="0" fontId="72" fillId="0" borderId="1" applyAlignment="1" pivotButton="0" quotePrefix="0" xfId="0">
      <alignment horizontal="left" vertical="top" wrapText="1" indent="2"/>
    </xf>
    <xf numFmtId="2" fontId="73" fillId="0" borderId="14" applyAlignment="1" pivotButton="0" quotePrefix="0" xfId="0">
      <alignment horizontal="left" vertical="top" shrinkToFit="1" indent="2"/>
    </xf>
    <xf numFmtId="0" fontId="72" fillId="0" borderId="14" applyAlignment="1" pivotButton="0" quotePrefix="0" xfId="0">
      <alignment horizontal="left" vertical="top" wrapText="1" indent="2"/>
    </xf>
    <xf numFmtId="172" fontId="73" fillId="0" borderId="14" applyAlignment="1" pivotButton="0" quotePrefix="0" xfId="0">
      <alignment horizontal="left" vertical="top" shrinkToFit="1" indent="2"/>
    </xf>
    <xf numFmtId="1" fontId="73" fillId="0" borderId="12" applyAlignment="1" pivotButton="0" quotePrefix="0" xfId="0">
      <alignment horizontal="left" vertical="top" shrinkToFit="1"/>
    </xf>
    <xf numFmtId="2" fontId="73" fillId="0" borderId="9" applyAlignment="1" pivotButton="0" quotePrefix="0" xfId="0">
      <alignment horizontal="left" vertical="top" shrinkToFit="1" indent="2"/>
    </xf>
    <xf numFmtId="2" fontId="73" fillId="0" borderId="15" applyAlignment="1" pivotButton="0" quotePrefix="0" xfId="0">
      <alignment horizontal="left" vertical="top" shrinkToFit="1" indent="2"/>
    </xf>
    <xf numFmtId="3" fontId="41" fillId="17" borderId="1" applyAlignment="1" pivotButton="0" quotePrefix="0" xfId="0">
      <alignment horizontal="right" vertical="center" wrapText="1"/>
    </xf>
    <xf numFmtId="3" fontId="75" fillId="0" borderId="0" applyAlignment="1" pivotButton="0" quotePrefix="0" xfId="0">
      <alignment horizontal="justify" vertical="center" wrapText="1"/>
    </xf>
    <xf numFmtId="3" fontId="31" fillId="3" borderId="1" pivotButton="0" quotePrefix="0" xfId="0"/>
    <xf numFmtId="3" fontId="31" fillId="0" borderId="6" applyProtection="1" pivotButton="0" quotePrefix="0" xfId="0">
      <protection locked="0" hidden="0"/>
    </xf>
    <xf numFmtId="3" fontId="76" fillId="17" borderId="1" applyAlignment="1" pivotButton="0" quotePrefix="0" xfId="0">
      <alignment horizontal="center" vertical="center" textRotation="90" wrapText="1"/>
    </xf>
    <xf numFmtId="3" fontId="51" fillId="0" borderId="3" applyAlignment="1" applyProtection="1" pivotButton="0" quotePrefix="0" xfId="14">
      <alignment horizontal="right" vertical="center" wrapText="1"/>
      <protection locked="0" hidden="0"/>
    </xf>
    <xf numFmtId="3" fontId="78" fillId="0" borderId="1" applyAlignment="1" applyProtection="1" pivotButton="0" quotePrefix="0" xfId="0">
      <alignment horizontal="left" vertical="center" wrapText="1"/>
      <protection locked="0" hidden="0"/>
    </xf>
    <xf numFmtId="3" fontId="31" fillId="0" borderId="2" applyProtection="1" pivotButton="0" quotePrefix="0" xfId="0">
      <protection locked="0" hidden="0"/>
    </xf>
    <xf numFmtId="3" fontId="31" fillId="0" borderId="22" applyProtection="1" pivotButton="0" quotePrefix="0" xfId="0">
      <protection locked="0" hidden="0"/>
    </xf>
    <xf numFmtId="3" fontId="31" fillId="3" borderId="1" applyAlignment="1" pivotButton="0" quotePrefix="0" xfId="0">
      <alignment horizontal="center"/>
    </xf>
    <xf numFmtId="3" fontId="31" fillId="0" borderId="2" pivotButton="0" quotePrefix="0" xfId="0"/>
    <xf numFmtId="3" fontId="51" fillId="0" borderId="2" pivotButton="0" quotePrefix="0" xfId="0"/>
    <xf numFmtId="3" fontId="79" fillId="0" borderId="0" applyAlignment="1" pivotButton="0" quotePrefix="0" xfId="0">
      <alignment horizontal="justify" vertical="center" wrapText="1"/>
    </xf>
    <xf numFmtId="173" fontId="11" fillId="2" borderId="3" applyAlignment="1" pivotButton="0" quotePrefix="0" xfId="0">
      <alignment horizontal="center" vertical="center" wrapText="1"/>
    </xf>
    <xf numFmtId="173" fontId="11" fillId="2" borderId="4" applyAlignment="1" pivotButton="0" quotePrefix="0" xfId="0">
      <alignment horizontal="center" vertical="center" wrapText="1"/>
    </xf>
    <xf numFmtId="173" fontId="11" fillId="3" borderId="1" applyAlignment="1" pivotButton="0" quotePrefix="0" xfId="0">
      <alignment horizontal="left" vertical="center" wrapText="1"/>
    </xf>
    <xf numFmtId="3" fontId="11" fillId="3" borderId="2" applyAlignment="1" pivotButton="0" quotePrefix="0" xfId="0">
      <alignment horizontal="right" vertical="center" wrapText="1"/>
    </xf>
    <xf numFmtId="3" fontId="11" fillId="3" borderId="1" applyAlignment="1" pivotButton="0" quotePrefix="0" xfId="0">
      <alignment horizontal="right" vertical="center" wrapText="1"/>
    </xf>
    <xf numFmtId="3" fontId="11" fillId="10" borderId="2" applyAlignment="1" applyProtection="1" pivotButton="0" quotePrefix="0" xfId="0">
      <alignment horizontal="right" vertical="center" wrapText="1"/>
      <protection locked="0" hidden="0"/>
    </xf>
    <xf numFmtId="3" fontId="17" fillId="3" borderId="2" applyAlignment="1" pivotButton="0" quotePrefix="0" xfId="0">
      <alignment horizontal="right" vertical="center" wrapText="1"/>
    </xf>
    <xf numFmtId="0" fontId="37" fillId="3" borderId="1" applyAlignment="1" pivotButton="0" quotePrefix="0" xfId="0">
      <alignment horizontal="left" vertical="center" wrapText="1"/>
    </xf>
    <xf numFmtId="3" fontId="17" fillId="3" borderId="1" applyAlignment="1" pivotButton="0" quotePrefix="0" xfId="0">
      <alignment horizontal="right" vertical="center" wrapText="1"/>
    </xf>
    <xf numFmtId="0" fontId="17"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37" fillId="3" borderId="3" applyAlignment="1" pivotButton="0" quotePrefix="0" xfId="0">
      <alignment horizontal="left" vertical="center" wrapText="1"/>
    </xf>
    <xf numFmtId="164" fontId="11" fillId="3" borderId="3" applyAlignment="1" pivotButton="0" quotePrefix="0" xfId="2">
      <alignment vertical="center" wrapText="1"/>
    </xf>
    <xf numFmtId="0" fontId="43" fillId="0" borderId="0" applyAlignment="1" pivotButton="0" quotePrefix="0" xfId="0">
      <alignment vertical="center" wrapText="1"/>
    </xf>
    <xf numFmtId="164" fontId="11" fillId="3" borderId="1" applyAlignment="1" pivotButton="0" quotePrefix="0" xfId="2">
      <alignment vertical="center" wrapText="1"/>
    </xf>
    <xf numFmtId="3" fontId="11" fillId="0" borderId="0" applyAlignment="1" pivotButton="0" quotePrefix="0" xfId="0">
      <alignment horizontal="center" vertical="center" wrapText="1"/>
    </xf>
    <xf numFmtId="169" fontId="80" fillId="0" borderId="0" applyAlignment="1" pivotButton="0" quotePrefix="0" xfId="14">
      <alignment horizontal="center" vertical="center" wrapText="1"/>
    </xf>
    <xf numFmtId="165" fontId="17" fillId="0" borderId="0" applyAlignment="1" pivotButton="0" quotePrefix="0" xfId="2">
      <alignment horizontal="justify" vertical="center" wrapText="1"/>
    </xf>
    <xf numFmtId="3" fontId="80"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16" fillId="2" borderId="1" applyAlignment="1" pivotButton="0" quotePrefix="0" xfId="0">
      <alignment horizontal="center" vertical="center" wrapText="1"/>
    </xf>
    <xf numFmtId="0" fontId="16" fillId="3" borderId="2" applyAlignment="1" pivotButton="0" quotePrefix="0" xfId="0">
      <alignment horizontal="left" vertical="center" wrapText="1"/>
    </xf>
    <xf numFmtId="3" fontId="16" fillId="3" borderId="1" applyAlignment="1" pivotButton="0" quotePrefix="0" xfId="0">
      <alignment vertical="center" wrapText="1"/>
    </xf>
    <xf numFmtId="3" fontId="16" fillId="3" borderId="1" applyAlignment="1" pivotButton="0" quotePrefix="0" xfId="22">
      <alignment vertical="center" wrapText="1"/>
    </xf>
    <xf numFmtId="173" fontId="31" fillId="0" borderId="1" pivotButton="0" quotePrefix="0" xfId="14"/>
    <xf numFmtId="3" fontId="33" fillId="28" borderId="1" applyAlignment="1" pivotButton="0" quotePrefix="0" xfId="29">
      <alignment horizontal="right"/>
    </xf>
    <xf numFmtId="41" fontId="1" fillId="28" borderId="0" pivotButton="0" quotePrefix="0" xfId="42"/>
    <xf numFmtId="3" fontId="4" fillId="0" borderId="1" applyAlignment="1" pivotButton="0" quotePrefix="0" xfId="0">
      <alignment horizontal="right" vertical="center" wrapText="1"/>
    </xf>
    <xf numFmtId="3" fontId="3" fillId="0" borderId="0" applyAlignment="1" pivotButton="0" quotePrefix="0" xfId="0">
      <alignment horizontal="right" vertical="center" wrapText="1"/>
    </xf>
    <xf numFmtId="0" fontId="33" fillId="28" borderId="2" applyAlignment="1" applyProtection="1" pivotButton="0" quotePrefix="0" xfId="0">
      <alignment horizontal="left" vertical="center" wrapText="1"/>
      <protection locked="0" hidden="0"/>
    </xf>
    <xf numFmtId="3" fontId="33" fillId="28" borderId="1" pivotButton="0" quotePrefix="0" xfId="29"/>
    <xf numFmtId="3" fontId="47" fillId="0" borderId="63" applyAlignment="1" applyProtection="1" pivotButton="0" quotePrefix="0" xfId="22">
      <alignment horizontal="right" vertical="center" wrapText="1"/>
      <protection locked="0" hidden="0"/>
    </xf>
    <xf numFmtId="165" fontId="41" fillId="0" borderId="0" pivotButton="0" quotePrefix="0" xfId="0"/>
    <xf numFmtId="165" fontId="33" fillId="0" borderId="0" applyProtection="1" pivotButton="0" quotePrefix="0" xfId="0">
      <protection locked="0" hidden="0"/>
    </xf>
    <xf numFmtId="9" fontId="33" fillId="0" borderId="0" applyProtection="1" pivotButton="0" quotePrefix="0" xfId="34">
      <protection locked="0" hidden="0"/>
    </xf>
    <xf numFmtId="3" fontId="9" fillId="26" borderId="1" applyAlignment="1" applyProtection="1" pivotButton="0" quotePrefix="0" xfId="3">
      <alignment horizontal="right" vertical="center"/>
      <protection locked="0" hidden="0"/>
    </xf>
    <xf numFmtId="3" fontId="36" fillId="26" borderId="1" applyAlignment="1" applyProtection="1" pivotButton="0" quotePrefix="0" xfId="0">
      <alignment horizontal="right" wrapText="1" readingOrder="1"/>
      <protection locked="0" hidden="0"/>
    </xf>
    <xf numFmtId="0" fontId="51" fillId="0" borderId="0" pivotButton="0" quotePrefix="0" xfId="0"/>
    <xf numFmtId="0" fontId="31" fillId="0" borderId="0" pivotButton="0" quotePrefix="0" xfId="0"/>
    <xf numFmtId="4" fontId="31" fillId="0" borderId="0" pivotButton="0" quotePrefix="0" xfId="0"/>
    <xf numFmtId="0" fontId="40" fillId="0" borderId="7" applyAlignment="1" pivotButton="0" quotePrefix="0" xfId="0">
      <alignment vertical="center" textRotation="90"/>
    </xf>
    <xf numFmtId="0" fontId="40" fillId="0" borderId="26" pivotButton="0" quotePrefix="0" xfId="0"/>
    <xf numFmtId="0" fontId="40" fillId="0" borderId="24" pivotButton="0" quotePrefix="0" xfId="0"/>
    <xf numFmtId="0" fontId="40" fillId="0" borderId="1" applyAlignment="1" pivotButton="0" quotePrefix="0" xfId="0">
      <alignment horizontal="left" vertical="center"/>
    </xf>
    <xf numFmtId="0" fontId="40" fillId="0" borderId="2" applyAlignment="1" pivotButton="0" quotePrefix="0" xfId="0">
      <alignment vertical="center" textRotation="90" wrapText="1"/>
    </xf>
    <xf numFmtId="0" fontId="40" fillId="0" borderId="7" applyAlignment="1" pivotButton="0" quotePrefix="0" xfId="0">
      <alignment vertical="center" textRotation="90" wrapText="1"/>
    </xf>
    <xf numFmtId="3" fontId="32" fillId="3" borderId="1" applyAlignment="1" pivotButton="0" quotePrefix="0" xfId="11">
      <alignment horizontal="center" vertical="center" wrapText="1"/>
    </xf>
    <xf numFmtId="0" fontId="41" fillId="32" borderId="1" applyAlignment="1" pivotButton="0" quotePrefix="0" xfId="0">
      <alignment horizontal="center" vertical="center"/>
    </xf>
    <xf numFmtId="0" fontId="40" fillId="32" borderId="1" applyAlignment="1" pivotButton="0" quotePrefix="0" xfId="0">
      <alignment vertical="center" wrapText="1"/>
    </xf>
    <xf numFmtId="0" fontId="41" fillId="32" borderId="1" applyAlignment="1" pivotButton="0" quotePrefix="0" xfId="0">
      <alignment horizontal="center" vertical="center" wrapText="1"/>
    </xf>
    <xf numFmtId="0" fontId="40" fillId="32" borderId="1" applyAlignment="1" pivotButton="0" quotePrefix="0" xfId="0">
      <alignment horizontal="center" vertical="center" wrapText="1"/>
    </xf>
    <xf numFmtId="0" fontId="40" fillId="32" borderId="1" applyAlignment="1" pivotButton="0" quotePrefix="0" xfId="0">
      <alignment horizontal="center" vertical="center"/>
    </xf>
    <xf numFmtId="3" fontId="41" fillId="32" borderId="1" applyAlignment="1" pivotButton="0" quotePrefix="0" xfId="0">
      <alignment horizontal="right" vertical="center" wrapText="1"/>
    </xf>
    <xf numFmtId="165" fontId="81" fillId="33" borderId="0" applyAlignment="1" pivotButton="0" quotePrefix="0" xfId="2">
      <alignment horizontal="center"/>
    </xf>
    <xf numFmtId="165" fontId="0" fillId="0" borderId="1" pivotButton="0" quotePrefix="0" xfId="2"/>
    <xf numFmtId="3" fontId="3" fillId="0" borderId="0" applyAlignment="1" pivotButton="0" quotePrefix="0" xfId="0">
      <alignment horizontal="right" vertical="center"/>
    </xf>
    <xf numFmtId="3" fontId="32" fillId="3" borderId="1" applyAlignment="1" pivotButton="0" quotePrefix="0" xfId="0">
      <alignment vertical="center" wrapText="1"/>
    </xf>
    <xf numFmtId="0" fontId="32" fillId="3" borderId="1" applyAlignment="1" pivotButton="0" quotePrefix="0" xfId="0">
      <alignment vertical="center" wrapText="1"/>
    </xf>
    <xf numFmtId="165" fontId="31" fillId="0" borderId="1" pivotButton="0" quotePrefix="0" xfId="2"/>
    <xf numFmtId="165" fontId="31" fillId="0" borderId="0" pivotButton="0" quotePrefix="0" xfId="2"/>
    <xf numFmtId="165" fontId="51" fillId="0" borderId="1" applyAlignment="1" pivotButton="0" quotePrefix="0" xfId="2">
      <alignment horizontal="center"/>
    </xf>
    <xf numFmtId="165" fontId="51" fillId="0" borderId="1" pivotButton="0" quotePrefix="0" xfId="2"/>
    <xf numFmtId="164" fontId="31" fillId="0" borderId="1" pivotButton="0" quotePrefix="0" xfId="2"/>
    <xf numFmtId="164" fontId="31" fillId="0" borderId="0" pivotButton="0" quotePrefix="0" xfId="2"/>
    <xf numFmtId="164" fontId="51" fillId="0" borderId="1" applyAlignment="1" pivotButton="0" quotePrefix="0" xfId="2">
      <alignment horizontal="center"/>
    </xf>
    <xf numFmtId="164" fontId="51" fillId="0" borderId="1" pivotButton="0" quotePrefix="0" xfId="2"/>
    <xf numFmtId="164" fontId="40" fillId="32" borderId="5" applyAlignment="1" pivotButton="0" quotePrefix="0" xfId="2">
      <alignment vertical="center"/>
    </xf>
    <xf numFmtId="3" fontId="32" fillId="3" borderId="1" applyAlignment="1" pivotButton="0" quotePrefix="0" xfId="11">
      <alignment horizontal="right" vertical="center" wrapText="1"/>
    </xf>
    <xf numFmtId="3" fontId="0" fillId="0" borderId="1" pivotButton="0" quotePrefix="0" xfId="2"/>
    <xf numFmtId="3" fontId="31" fillId="0" borderId="2" pivotButton="0" quotePrefix="0" xfId="2"/>
    <xf numFmtId="164" fontId="51" fillId="0" borderId="2" applyAlignment="1" pivotButton="0" quotePrefix="0" xfId="2">
      <alignment horizontal="right"/>
    </xf>
    <xf numFmtId="164" fontId="51" fillId="0" borderId="2" pivotButton="0" quotePrefix="0" xfId="2"/>
    <xf numFmtId="164" fontId="51" fillId="0" borderId="2" pivotButton="0" quotePrefix="0" xfId="2"/>
    <xf numFmtId="3" fontId="33" fillId="28" borderId="1" applyAlignment="1" pivotButton="0" quotePrefix="0" xfId="11">
      <alignment horizontal="right" vertical="center" wrapText="1"/>
    </xf>
    <xf numFmtId="9" fontId="33" fillId="28" borderId="2" applyAlignment="1" applyProtection="1" pivotButton="0" quotePrefix="0" xfId="0">
      <alignment vertical="center" wrapText="1"/>
      <protection locked="0" hidden="0"/>
    </xf>
    <xf numFmtId="3" fontId="33" fillId="0" borderId="1" applyAlignment="1" pivotButton="0" quotePrefix="0" xfId="0">
      <alignment horizontal="right"/>
    </xf>
    <xf numFmtId="168" fontId="17" fillId="0" borderId="0" applyAlignment="1" applyProtection="1" pivotButton="0" quotePrefix="0" xfId="0">
      <alignment horizontal="right" vertical="center" wrapText="1"/>
      <protection locked="0" hidden="0"/>
    </xf>
    <xf numFmtId="0" fontId="0" fillId="9" borderId="0" pivotButton="0" quotePrefix="0" xfId="2"/>
    <xf numFmtId="0" fontId="0" fillId="7" borderId="0" pivotButton="0" quotePrefix="0" xfId="0"/>
    <xf numFmtId="0" fontId="0" fillId="7" borderId="1" pivotButton="0" quotePrefix="0" xfId="0"/>
    <xf numFmtId="0" fontId="40" fillId="7" borderId="1" pivotButton="0" quotePrefix="0" xfId="0"/>
    <xf numFmtId="0" fontId="40" fillId="0" borderId="5" applyAlignment="1" pivotButton="0" quotePrefix="0" xfId="0">
      <alignment horizontal="center" textRotation="45"/>
    </xf>
    <xf numFmtId="0" fontId="0" fillId="7" borderId="1" applyAlignment="1" pivotButton="0" quotePrefix="0" xfId="0">
      <alignment horizontal="right"/>
    </xf>
    <xf numFmtId="0" fontId="49" fillId="0" borderId="7" applyAlignment="1" pivotButton="0" quotePrefix="0" xfId="0">
      <alignment vertical="center" textRotation="90" wrapText="1"/>
    </xf>
    <xf numFmtId="165" fontId="84" fillId="0" borderId="0" pivotButton="0" quotePrefix="0" xfId="2"/>
    <xf numFmtId="164" fontId="31" fillId="0" borderId="1" applyAlignment="1" pivotButton="0" quotePrefix="0" xfId="2">
      <alignment horizontal="right"/>
    </xf>
    <xf numFmtId="165" fontId="0" fillId="7" borderId="1" applyAlignment="1" pivotButton="0" quotePrefix="0" xfId="2">
      <alignment horizontal="right"/>
    </xf>
    <xf numFmtId="0" fontId="33" fillId="23" borderId="0" pivotButton="0" quotePrefix="0" xfId="0"/>
    <xf numFmtId="0" fontId="32" fillId="23" borderId="0" pivotButton="0" quotePrefix="0" xfId="0"/>
    <xf numFmtId="0" fontId="33" fillId="23" borderId="0" applyAlignment="1" pivotButton="0" quotePrefix="0" xfId="0">
      <alignment vertical="center"/>
    </xf>
    <xf numFmtId="0" fontId="32" fillId="23" borderId="0" applyAlignment="1" pivotButton="0" quotePrefix="0" xfId="0">
      <alignment horizontal="center" vertical="center" wrapText="1"/>
    </xf>
    <xf numFmtId="0" fontId="9" fillId="23" borderId="0" pivotButton="0" quotePrefix="0" xfId="0"/>
    <xf numFmtId="0" fontId="51" fillId="3" borderId="1" applyAlignment="1" pivotButton="0" quotePrefix="0" xfId="0">
      <alignment horizontal="center" vertical="center" wrapText="1"/>
    </xf>
    <xf numFmtId="0" fontId="51" fillId="3" borderId="1" applyAlignment="1" pivotButton="0" quotePrefix="0" xfId="0">
      <alignment horizontal="center" vertical="center"/>
    </xf>
    <xf numFmtId="0" fontId="31" fillId="23" borderId="0" pivotButton="0" quotePrefix="0" xfId="0"/>
    <xf numFmtId="16" fontId="31" fillId="23" borderId="1" applyAlignment="1" pivotButton="0" quotePrefix="0" xfId="0">
      <alignment horizontal="center"/>
    </xf>
    <xf numFmtId="174" fontId="31" fillId="23" borderId="1" pivotButton="0" quotePrefix="0" xfId="0"/>
    <xf numFmtId="0" fontId="31" fillId="23" borderId="1" applyAlignment="1" pivotButton="0" quotePrefix="0" xfId="0">
      <alignment horizontal="center"/>
    </xf>
    <xf numFmtId="16" fontId="33" fillId="23" borderId="0" applyAlignment="1" pivotButton="0" quotePrefix="0" xfId="0">
      <alignment horizontal="center"/>
    </xf>
    <xf numFmtId="174" fontId="33" fillId="23" borderId="0" pivotButton="0" quotePrefix="0" xfId="0"/>
    <xf numFmtId="0" fontId="33" fillId="23" borderId="0" applyAlignment="1" pivotButton="0" quotePrefix="0" xfId="0">
      <alignment horizontal="center"/>
    </xf>
    <xf numFmtId="175" fontId="0" fillId="7" borderId="1" applyAlignment="1" pivotButton="0" quotePrefix="0" xfId="0">
      <alignment horizontal="right"/>
    </xf>
    <xf numFmtId="49" fontId="0" fillId="0" borderId="1" pivotButton="0" quotePrefix="0" xfId="0"/>
    <xf numFmtId="165" fontId="86" fillId="0" borderId="0" pivotButton="0" quotePrefix="0" xfId="2"/>
    <xf numFmtId="0" fontId="87" fillId="7" borderId="0" pivotButton="0" quotePrefix="0" xfId="0"/>
    <xf numFmtId="3" fontId="51" fillId="6" borderId="6" applyAlignment="1" pivotButton="0" quotePrefix="0" xfId="0">
      <alignment horizontal="center" vertical="center" wrapText="1"/>
    </xf>
    <xf numFmtId="0" fontId="88" fillId="34" borderId="6" applyAlignment="1" pivotButton="0" quotePrefix="0" xfId="0">
      <alignment horizontal="center" vertical="center" wrapText="1"/>
    </xf>
    <xf numFmtId="176" fontId="88" fillId="34" borderId="6" applyAlignment="1" pivotButton="0" quotePrefix="0" xfId="1">
      <alignment horizontal="center" vertical="center" wrapText="1"/>
    </xf>
    <xf numFmtId="0" fontId="33" fillId="35" borderId="67" applyAlignment="1" pivotButton="0" quotePrefix="0" xfId="0">
      <alignment horizontal="center" vertical="center" wrapText="1"/>
    </xf>
    <xf numFmtId="10" fontId="33" fillId="35" borderId="67" applyAlignment="1" applyProtection="1" pivotButton="0" quotePrefix="0" xfId="0">
      <alignment horizontal="center" vertical="center" wrapText="1"/>
      <protection locked="0" hidden="0"/>
    </xf>
    <xf numFmtId="164" fontId="33" fillId="0" borderId="67" applyAlignment="1" applyProtection="1" pivotButton="0" quotePrefix="0" xfId="1">
      <alignment horizontal="right" vertical="center" wrapText="1"/>
      <protection locked="0" hidden="0"/>
    </xf>
    <xf numFmtId="164" fontId="33" fillId="35" borderId="67" applyAlignment="1" applyProtection="1" pivotButton="0" quotePrefix="0" xfId="1">
      <alignment horizontal="right" vertical="center" wrapText="1"/>
      <protection locked="0" hidden="0"/>
    </xf>
    <xf numFmtId="164" fontId="33" fillId="35" borderId="67" applyAlignment="1" applyProtection="1" pivotButton="0" quotePrefix="0" xfId="0">
      <alignment horizontal="right" vertical="center" wrapText="1"/>
      <protection locked="0" hidden="0"/>
    </xf>
    <xf numFmtId="0" fontId="33" fillId="35" borderId="67" applyAlignment="1" pivotButton="0" quotePrefix="0" xfId="0">
      <alignment horizontal="left" vertical="center" wrapText="1"/>
    </xf>
    <xf numFmtId="10" fontId="33" fillId="35" borderId="67" applyAlignment="1" applyProtection="1" pivotButton="0" quotePrefix="0" xfId="34">
      <alignment horizontal="center" vertical="center" wrapText="1"/>
      <protection locked="0" hidden="0"/>
    </xf>
    <xf numFmtId="0" fontId="33" fillId="35" borderId="67" applyAlignment="1" applyProtection="1" pivotButton="0" quotePrefix="0" xfId="0">
      <alignment horizontal="left" vertical="center" wrapText="1"/>
      <protection locked="0" hidden="0"/>
    </xf>
    <xf numFmtId="0" fontId="33" fillId="35" borderId="67" applyAlignment="1" applyProtection="1" pivotButton="0" quotePrefix="0" xfId="0">
      <alignment horizontal="center" vertical="center" wrapText="1"/>
      <protection locked="0" hidden="0"/>
    </xf>
    <xf numFmtId="164" fontId="51" fillId="35" borderId="67" applyAlignment="1" applyProtection="1" pivotButton="0" quotePrefix="0" xfId="0">
      <alignment horizontal="right" vertical="center" wrapText="1"/>
      <protection locked="0" hidden="0"/>
    </xf>
    <xf numFmtId="3" fontId="51" fillId="6" borderId="22" applyAlignment="1" pivotButton="0" quotePrefix="0" xfId="0">
      <alignment horizontal="center" vertical="center" wrapText="1"/>
    </xf>
    <xf numFmtId="165" fontId="33" fillId="0" borderId="0" pivotButton="0" quotePrefix="0" xfId="2"/>
    <xf numFmtId="9" fontId="75" fillId="0" borderId="0" applyAlignment="1" pivotButton="0" quotePrefix="0" xfId="34">
      <alignment horizontal="justify" vertical="center" wrapText="1"/>
    </xf>
    <xf numFmtId="165" fontId="75" fillId="0" borderId="0" applyAlignment="1" pivotButton="0" quotePrefix="0" xfId="2">
      <alignment horizontal="justify" vertical="center" wrapText="1"/>
    </xf>
    <xf numFmtId="14" fontId="75" fillId="0" borderId="0" applyAlignment="1" pivotButton="0" quotePrefix="0" xfId="2">
      <alignment horizontal="justify" vertical="center" wrapText="1"/>
    </xf>
    <xf numFmtId="9" fontId="33" fillId="0" borderId="0" pivotButton="0" quotePrefix="0" xfId="34"/>
    <xf numFmtId="0" fontId="33" fillId="36" borderId="0" pivotButton="0" quotePrefix="0" xfId="0"/>
    <xf numFmtId="3" fontId="75" fillId="0" borderId="0" applyAlignment="1" pivotButton="0" quotePrefix="0" xfId="0">
      <alignment horizontal="justify" vertical="center"/>
    </xf>
    <xf numFmtId="165" fontId="75" fillId="0" borderId="0" applyAlignment="1" pivotButton="0" quotePrefix="0" xfId="2">
      <alignment horizontal="justify" vertical="center"/>
    </xf>
    <xf numFmtId="9" fontId="75" fillId="0" borderId="0" applyAlignment="1" pivotButton="0" quotePrefix="0" xfId="34">
      <alignment horizontal="justify" vertical="center"/>
    </xf>
    <xf numFmtId="9" fontId="33" fillId="0" borderId="0" pivotButton="0" quotePrefix="0" xfId="34"/>
    <xf numFmtId="14" fontId="75" fillId="0" borderId="0" applyAlignment="1" pivotButton="0" quotePrefix="0" xfId="2">
      <alignment horizontal="justify" vertical="center"/>
    </xf>
    <xf numFmtId="0" fontId="31" fillId="0" borderId="67" applyAlignment="1" pivotButton="0" quotePrefix="0" xfId="0">
      <alignment horizontal="left" vertical="center" wrapText="1"/>
    </xf>
    <xf numFmtId="3" fontId="31" fillId="0" borderId="67" applyProtection="1" pivotButton="0" quotePrefix="0" xfId="0">
      <protection locked="0" hidden="0"/>
    </xf>
    <xf numFmtId="168" fontId="31" fillId="0" borderId="67" applyProtection="1" pivotButton="0" quotePrefix="0" xfId="0">
      <protection locked="0" hidden="0"/>
    </xf>
    <xf numFmtId="0" fontId="78" fillId="0" borderId="67" applyAlignment="1" pivotButton="0" quotePrefix="0" xfId="0">
      <alignment horizontal="left" vertical="center" wrapText="1"/>
    </xf>
    <xf numFmtId="173" fontId="31" fillId="0" borderId="67" pivotButton="0" quotePrefix="0" xfId="14"/>
    <xf numFmtId="3" fontId="31" fillId="0" borderId="67" applyAlignment="1" applyProtection="1" pivotButton="0" quotePrefix="0" xfId="0">
      <alignment vertical="center"/>
      <protection locked="0" hidden="0"/>
    </xf>
    <xf numFmtId="3" fontId="31" fillId="0" borderId="67" applyAlignment="1" applyProtection="1" pivotButton="0" quotePrefix="0" xfId="0">
      <alignment horizontal="center"/>
      <protection locked="0" hidden="0"/>
    </xf>
    <xf numFmtId="4" fontId="31" fillId="0" borderId="67" applyAlignment="1" pivotButton="0" quotePrefix="0" xfId="0">
      <alignment horizontal="center" vertical="center"/>
    </xf>
    <xf numFmtId="3" fontId="32" fillId="28" borderId="1" applyAlignment="1" pivotButton="0" quotePrefix="0" xfId="11">
      <alignment horizontal="right" vertical="center" wrapText="1"/>
    </xf>
    <xf numFmtId="3" fontId="33" fillId="37" borderId="1" applyProtection="1" pivotButton="0" quotePrefix="0" xfId="0">
      <protection locked="0" hidden="0"/>
    </xf>
    <xf numFmtId="165" fontId="41" fillId="0" borderId="0" pivotButton="0" quotePrefix="0" xfId="2"/>
    <xf numFmtId="174" fontId="31" fillId="26" borderId="1" pivotButton="0" quotePrefix="0" xfId="0"/>
    <xf numFmtId="0" fontId="33" fillId="35" borderId="68" applyAlignment="1" applyProtection="1" pivotButton="0" quotePrefix="0" xfId="0">
      <alignment horizontal="center" vertical="center" wrapText="1"/>
      <protection locked="0" hidden="0"/>
    </xf>
    <xf numFmtId="0" fontId="32" fillId="38" borderId="1" applyAlignment="1" pivotButton="0" quotePrefix="0" xfId="0">
      <alignment horizontal="center" vertical="center" wrapText="1"/>
    </xf>
    <xf numFmtId="4" fontId="33" fillId="0" borderId="1" pivotButton="0" quotePrefix="0" xfId="0"/>
    <xf numFmtId="4" fontId="33" fillId="0" borderId="1" applyAlignment="1" pivotButton="0" quotePrefix="0" xfId="0">
      <alignment horizontal="center" vertical="center"/>
    </xf>
    <xf numFmtId="0" fontId="33" fillId="0" borderId="1" applyAlignment="1" pivotButton="0" quotePrefix="0" xfId="0">
      <alignment horizontal="center" vertical="center"/>
    </xf>
    <xf numFmtId="164" fontId="20" fillId="0" borderId="0" pivotButton="0" quotePrefix="0" xfId="0"/>
    <xf numFmtId="0" fontId="33" fillId="32" borderId="1" applyAlignment="1" pivotButton="0" quotePrefix="0" xfId="0">
      <alignment horizontal="center" vertical="center"/>
    </xf>
    <xf numFmtId="2" fontId="33" fillId="0" borderId="1" pivotButton="0" quotePrefix="0" xfId="0"/>
    <xf numFmtId="2" fontId="33" fillId="0" borderId="1" applyAlignment="1" pivotButton="0" quotePrefix="0" xfId="0">
      <alignment horizontal="center" vertical="center"/>
    </xf>
    <xf numFmtId="0" fontId="16" fillId="5" borderId="2" applyAlignment="1" pivotButton="0" quotePrefix="0" xfId="0">
      <alignment horizontal="center" vertical="center" wrapText="1"/>
    </xf>
    <xf numFmtId="0" fontId="16" fillId="5" borderId="7" applyAlignment="1" pivotButton="0" quotePrefix="0" xfId="0">
      <alignment horizontal="center" vertical="center" wrapText="1"/>
    </xf>
    <xf numFmtId="0" fontId="16" fillId="5" borderId="5" applyAlignment="1" pivotButton="0" quotePrefix="0" xfId="0">
      <alignment horizontal="center" vertical="center" wrapText="1"/>
    </xf>
    <xf numFmtId="0" fontId="16" fillId="0" borderId="2" applyAlignment="1" pivotButton="0" quotePrefix="0" xfId="0">
      <alignment horizontal="left"/>
    </xf>
    <xf numFmtId="0" fontId="16" fillId="0" borderId="5" applyAlignment="1" pivotButton="0" quotePrefix="0" xfId="0">
      <alignment horizontal="left"/>
    </xf>
    <xf numFmtId="0" fontId="3" fillId="7" borderId="5" applyAlignment="1" pivotButton="0" quotePrefix="0" xfId="0">
      <alignment horizontal="center" vertical="center" textRotation="90"/>
    </xf>
    <xf numFmtId="0" fontId="33" fillId="23" borderId="2" applyAlignment="1" pivotButton="0" quotePrefix="0" xfId="0">
      <alignment horizontal="left" vertical="top" wrapText="1"/>
    </xf>
    <xf numFmtId="0" fontId="33" fillId="23" borderId="7" applyAlignment="1" pivotButton="0" quotePrefix="0" xfId="0">
      <alignment horizontal="left" vertical="top" wrapText="1"/>
    </xf>
    <xf numFmtId="0" fontId="33" fillId="0" borderId="2" applyAlignment="1" pivotButton="0" quotePrefix="0" xfId="0">
      <alignment horizontal="left" vertical="top" wrapText="1"/>
    </xf>
    <xf numFmtId="0" fontId="33" fillId="0" borderId="5" applyAlignment="1" pivotButton="0" quotePrefix="0" xfId="0">
      <alignment horizontal="left" vertical="top" wrapText="1"/>
    </xf>
    <xf numFmtId="0" fontId="6" fillId="5" borderId="17" applyAlignment="1" pivotButton="0" quotePrefix="0" xfId="11">
      <alignment horizontal="center" vertical="center" textRotation="90" wrapText="1"/>
    </xf>
    <xf numFmtId="0" fontId="6" fillId="5" borderId="4" applyAlignment="1" pivotButton="0" quotePrefix="0" xfId="11">
      <alignment horizontal="center" vertical="center" textRotation="90" wrapText="1"/>
    </xf>
    <xf numFmtId="0" fontId="42" fillId="15" borderId="0" applyAlignment="1" pivotButton="0" quotePrefix="0" xfId="0">
      <alignment horizontal="center" vertical="center"/>
    </xf>
    <xf numFmtId="0" fontId="32" fillId="0" borderId="0" applyAlignment="1" pivotButton="0" quotePrefix="0" xfId="0">
      <alignment horizontal="center" vertical="center"/>
    </xf>
    <xf numFmtId="0" fontId="16" fillId="23" borderId="0" applyAlignment="1" pivotButton="0" quotePrefix="0" xfId="0">
      <alignment horizontal="center" vertical="center" wrapText="1"/>
    </xf>
    <xf numFmtId="3" fontId="40" fillId="32" borderId="1" applyAlignment="1" pivotButton="0" quotePrefix="0" xfId="0">
      <alignment horizontal="right" vertical="center" wrapText="1"/>
    </xf>
    <xf numFmtId="3" fontId="41" fillId="0" borderId="1" applyAlignment="1" pivotButton="0" quotePrefix="0" xfId="0">
      <alignment horizontal="right" vertical="center" wrapText="1"/>
    </xf>
    <xf numFmtId="0" fontId="41" fillId="0" borderId="1" applyAlignment="1" pivotButton="0" quotePrefix="0" xfId="0">
      <alignment horizontal="right" vertical="center" wrapText="1"/>
    </xf>
    <xf numFmtId="0" fontId="40" fillId="0" borderId="1" applyAlignment="1" pivotButton="0" quotePrefix="0" xfId="0">
      <alignment horizontal="center" vertical="center" textRotation="90" wrapText="1"/>
    </xf>
    <xf numFmtId="3" fontId="41" fillId="17" borderId="2" applyAlignment="1" pivotButton="0" quotePrefix="0" xfId="0">
      <alignment horizontal="right" vertical="center"/>
    </xf>
    <xf numFmtId="3" fontId="41" fillId="17" borderId="7" applyAlignment="1" pivotButton="0" quotePrefix="0" xfId="0">
      <alignment horizontal="right" vertical="center"/>
    </xf>
    <xf numFmtId="3" fontId="41" fillId="17" borderId="5" applyAlignment="1" pivotButton="0" quotePrefix="0" xfId="0">
      <alignment horizontal="right" vertical="center"/>
    </xf>
    <xf numFmtId="3" fontId="41" fillId="17" borderId="1" applyAlignment="1" pivotButton="0" quotePrefix="0" xfId="0">
      <alignment horizontal="right"/>
    </xf>
    <xf numFmtId="3" fontId="41" fillId="17" borderId="2" applyAlignment="1" pivotButton="0" quotePrefix="0" xfId="0">
      <alignment horizontal="right"/>
    </xf>
    <xf numFmtId="0" fontId="41" fillId="17" borderId="2" applyAlignment="1" pivotButton="0" quotePrefix="0" xfId="0">
      <alignment horizontal="left" vertical="center" wrapText="1"/>
    </xf>
    <xf numFmtId="0" fontId="41" fillId="17" borderId="7" applyAlignment="1" pivotButton="0" quotePrefix="0" xfId="0">
      <alignment horizontal="left" vertical="center" wrapText="1"/>
    </xf>
    <xf numFmtId="0" fontId="41" fillId="17" borderId="5" applyAlignment="1" pivotButton="0" quotePrefix="0" xfId="0">
      <alignment horizontal="left" vertical="center" wrapText="1"/>
    </xf>
    <xf numFmtId="0" fontId="41" fillId="0" borderId="2" applyAlignment="1" pivotButton="0" quotePrefix="0" xfId="0">
      <alignment horizontal="left" vertical="center" wrapText="1"/>
    </xf>
    <xf numFmtId="0" fontId="41" fillId="0" borderId="7" applyAlignment="1" pivotButton="0" quotePrefix="0" xfId="0">
      <alignment horizontal="left" vertical="center" wrapText="1"/>
    </xf>
    <xf numFmtId="0" fontId="41" fillId="0" borderId="5" applyAlignment="1" pivotButton="0" quotePrefix="0" xfId="0">
      <alignment horizontal="left" vertical="center" wrapText="1"/>
    </xf>
    <xf numFmtId="0" fontId="40" fillId="17" borderId="2" applyAlignment="1" pivotButton="0" quotePrefix="0" xfId="0">
      <alignment horizontal="left" vertical="center" wrapText="1"/>
    </xf>
    <xf numFmtId="0" fontId="40" fillId="17" borderId="7" applyAlignment="1" pivotButton="0" quotePrefix="0" xfId="0">
      <alignment horizontal="left" vertical="center" wrapText="1"/>
    </xf>
    <xf numFmtId="0" fontId="40" fillId="17" borderId="5" applyAlignment="1" pivotButton="0" quotePrefix="0" xfId="0">
      <alignment horizontal="left" vertical="center" wrapText="1"/>
    </xf>
    <xf numFmtId="0" fontId="40" fillId="0" borderId="2" applyAlignment="1" pivotButton="0" quotePrefix="0" xfId="0">
      <alignment horizontal="left" vertical="center" wrapText="1"/>
    </xf>
    <xf numFmtId="0" fontId="40" fillId="0" borderId="7" applyAlignment="1" pivotButton="0" quotePrefix="0" xfId="0">
      <alignment horizontal="left" vertical="center" wrapText="1"/>
    </xf>
    <xf numFmtId="0" fontId="40" fillId="0" borderId="5" applyAlignment="1" pivotButton="0" quotePrefix="0" xfId="0">
      <alignment horizontal="left" vertical="center" wrapText="1"/>
    </xf>
    <xf numFmtId="3" fontId="40" fillId="0" borderId="2" applyAlignment="1" pivotButton="0" quotePrefix="0" xfId="0">
      <alignment horizontal="right" vertical="center"/>
    </xf>
    <xf numFmtId="3" fontId="40" fillId="0" borderId="7" applyAlignment="1" pivotButton="0" quotePrefix="0" xfId="0">
      <alignment horizontal="right" vertical="center"/>
    </xf>
    <xf numFmtId="3" fontId="40" fillId="0" borderId="5" applyAlignment="1" pivotButton="0" quotePrefix="0" xfId="0">
      <alignment horizontal="right" vertical="center"/>
    </xf>
    <xf numFmtId="3" fontId="40" fillId="0" borderId="1" applyAlignment="1" pivotButton="0" quotePrefix="0" xfId="0">
      <alignment horizontal="right"/>
    </xf>
    <xf numFmtId="3" fontId="40" fillId="0" borderId="2" applyAlignment="1" pivotButton="0" quotePrefix="0" xfId="0">
      <alignment horizontal="right"/>
    </xf>
    <xf numFmtId="3" fontId="40" fillId="0" borderId="1" applyAlignment="1" pivotButton="0" quotePrefix="0" xfId="0">
      <alignment horizontal="right" vertical="center" wrapText="1"/>
    </xf>
    <xf numFmtId="0" fontId="41" fillId="0" borderId="1" applyAlignment="1" pivotButton="0" quotePrefix="0" xfId="0">
      <alignment horizontal="left" vertical="center" wrapText="1"/>
    </xf>
    <xf numFmtId="0" fontId="40" fillId="17" borderId="1" applyAlignment="1" pivotButton="0" quotePrefix="0" xfId="0">
      <alignment horizontal="left" vertical="center" wrapText="1"/>
    </xf>
    <xf numFmtId="0" fontId="40" fillId="0" borderId="2" applyAlignment="1" pivotButton="0" quotePrefix="0" xfId="0">
      <alignment horizontal="center" vertical="center"/>
    </xf>
    <xf numFmtId="0" fontId="40" fillId="0" borderId="7" applyAlignment="1" pivotButton="0" quotePrefix="0" xfId="0">
      <alignment horizontal="center" vertical="center"/>
    </xf>
    <xf numFmtId="0" fontId="40" fillId="0" borderId="5" applyAlignment="1" pivotButton="0" quotePrefix="0" xfId="0">
      <alignment horizontal="center" vertical="center"/>
    </xf>
    <xf numFmtId="3" fontId="41" fillId="17" borderId="2" applyAlignment="1" pivotButton="0" quotePrefix="0" xfId="2">
      <alignment horizontal="right"/>
    </xf>
    <xf numFmtId="3" fontId="41" fillId="17" borderId="7" applyAlignment="1" pivotButton="0" quotePrefix="0" xfId="2">
      <alignment horizontal="right"/>
    </xf>
    <xf numFmtId="3" fontId="41" fillId="17" borderId="5" applyAlignment="1" pivotButton="0" quotePrefix="0" xfId="2">
      <alignment horizontal="right"/>
    </xf>
    <xf numFmtId="3" fontId="40" fillId="0" borderId="1" applyAlignment="1" pivotButton="0" quotePrefix="0" xfId="2">
      <alignment horizontal="right"/>
    </xf>
    <xf numFmtId="3" fontId="40" fillId="17" borderId="1" applyAlignment="1" pivotButton="0" quotePrefix="0" xfId="2">
      <alignment horizontal="right"/>
    </xf>
    <xf numFmtId="0" fontId="33" fillId="0" borderId="17" applyAlignment="1" pivotButton="0" quotePrefix="0" xfId="0">
      <alignment horizontal="right" vertical="center" wrapText="1"/>
    </xf>
    <xf numFmtId="0" fontId="33" fillId="0" borderId="0" applyAlignment="1" pivotButton="0" quotePrefix="0" xfId="0">
      <alignment horizontal="right" vertical="center" wrapText="1"/>
    </xf>
    <xf numFmtId="0" fontId="33" fillId="0" borderId="25" applyAlignment="1" pivotButton="0" quotePrefix="0" xfId="0">
      <alignment horizontal="right" vertical="center" wrapText="1"/>
    </xf>
    <xf numFmtId="0" fontId="33" fillId="0" borderId="4" applyAlignment="1" pivotButton="0" quotePrefix="0" xfId="0">
      <alignment horizontal="right" vertical="center" wrapText="1"/>
    </xf>
    <xf numFmtId="0" fontId="33" fillId="0" borderId="23" applyAlignment="1" pivotButton="0" quotePrefix="0" xfId="0">
      <alignment horizontal="right" vertical="center" wrapText="1"/>
    </xf>
    <xf numFmtId="0" fontId="33" fillId="0" borderId="16" applyAlignment="1" pivotButton="0" quotePrefix="0" xfId="0">
      <alignment horizontal="right" vertical="center" wrapText="1"/>
    </xf>
    <xf numFmtId="0" fontId="40" fillId="0" borderId="22" applyAlignment="1" pivotButton="0" quotePrefix="0" xfId="0">
      <alignment horizontal="left"/>
    </xf>
    <xf numFmtId="0" fontId="40" fillId="0" borderId="26" applyAlignment="1" pivotButton="0" quotePrefix="0" xfId="0">
      <alignment horizontal="left"/>
    </xf>
    <xf numFmtId="0" fontId="40" fillId="0" borderId="24" applyAlignment="1" pivotButton="0" quotePrefix="0" xfId="0">
      <alignment horizontal="left"/>
    </xf>
    <xf numFmtId="0" fontId="33" fillId="0" borderId="1" applyAlignment="1" pivotButton="0" quotePrefix="0" xfId="0">
      <alignment horizontal="right" vertical="center" wrapText="1"/>
    </xf>
    <xf numFmtId="0" fontId="40" fillId="0" borderId="1" applyAlignment="1" pivotButton="0" quotePrefix="0" xfId="0">
      <alignment horizontal="left" vertical="center"/>
    </xf>
    <xf numFmtId="0" fontId="40" fillId="0" borderId="1" applyAlignment="1" pivotButton="0" quotePrefix="0" xfId="0">
      <alignment horizontal="center" vertical="center"/>
    </xf>
    <xf numFmtId="3" fontId="41" fillId="17" borderId="1" pivotButton="0" quotePrefix="0" xfId="0"/>
    <xf numFmtId="3" fontId="41" fillId="17" borderId="1" applyAlignment="1" pivotButton="0" quotePrefix="0" xfId="1">
      <alignment horizontal="right" vertical="center"/>
    </xf>
    <xf numFmtId="3" fontId="41" fillId="0" borderId="1" applyAlignment="1" pivotButton="0" quotePrefix="0" xfId="0">
      <alignment horizontal="right"/>
    </xf>
    <xf numFmtId="0" fontId="41" fillId="23" borderId="2" applyAlignment="1" pivotButton="0" quotePrefix="0" xfId="0">
      <alignment horizontal="left" vertical="center" wrapText="1"/>
    </xf>
    <xf numFmtId="0" fontId="41" fillId="23" borderId="7" applyAlignment="1" pivotButton="0" quotePrefix="0" xfId="0">
      <alignment horizontal="left" vertical="center" wrapText="1"/>
    </xf>
    <xf numFmtId="0" fontId="41" fillId="23" borderId="5" applyAlignment="1" pivotButton="0" quotePrefix="0" xfId="0">
      <alignment horizontal="left" vertical="center" wrapText="1"/>
    </xf>
    <xf numFmtId="3" fontId="41" fillId="0" borderId="1" applyAlignment="1" pivotButton="0" quotePrefix="0" xfId="1">
      <alignment horizontal="right" vertical="center"/>
    </xf>
    <xf numFmtId="3" fontId="41" fillId="17" borderId="2" pivotButton="0" quotePrefix="0" xfId="0"/>
    <xf numFmtId="0" fontId="41" fillId="27" borderId="1" applyAlignment="1" pivotButton="0" quotePrefix="0" xfId="0">
      <alignment horizontal="center"/>
    </xf>
    <xf numFmtId="3" fontId="41" fillId="0" borderId="1" pivotButton="0" quotePrefix="0" xfId="0"/>
    <xf numFmtId="0" fontId="41" fillId="27" borderId="22" applyAlignment="1" pivotButton="0" quotePrefix="0" xfId="0">
      <alignment horizontal="center"/>
    </xf>
    <xf numFmtId="0" fontId="41" fillId="27" borderId="26" applyAlignment="1" pivotButton="0" quotePrefix="0" xfId="0">
      <alignment horizontal="center"/>
    </xf>
    <xf numFmtId="3" fontId="40" fillId="17" borderId="2" applyAlignment="1" pivotButton="0" quotePrefix="0" xfId="0">
      <alignment horizontal="right"/>
    </xf>
    <xf numFmtId="3" fontId="40" fillId="17" borderId="7" applyAlignment="1" pivotButton="0" quotePrefix="0" xfId="0">
      <alignment horizontal="right"/>
    </xf>
    <xf numFmtId="3" fontId="40" fillId="17" borderId="5" applyAlignment="1" pivotButton="0" quotePrefix="0" xfId="0">
      <alignment horizontal="right"/>
    </xf>
    <xf numFmtId="3" fontId="40" fillId="0" borderId="2" applyAlignment="1" pivotButton="0" quotePrefix="0" xfId="2">
      <alignment horizontal="right"/>
    </xf>
    <xf numFmtId="0" fontId="33" fillId="0" borderId="21" applyAlignment="1" pivotButton="0" quotePrefix="0" xfId="0">
      <alignment horizontal="center" vertical="center" wrapText="1"/>
    </xf>
    <xf numFmtId="0" fontId="33" fillId="0" borderId="3" applyAlignment="1" pivotButton="0" quotePrefix="0" xfId="0">
      <alignment horizontal="center" vertical="center" wrapText="1"/>
    </xf>
    <xf numFmtId="3" fontId="41" fillId="0" borderId="1" applyAlignment="1" pivotButton="0" quotePrefix="0" xfId="2">
      <alignment horizontal="right" vertical="center"/>
    </xf>
    <xf numFmtId="3" fontId="41" fillId="17" borderId="1" applyAlignment="1" pivotButton="0" quotePrefix="0" xfId="2">
      <alignment horizontal="right" vertical="center"/>
    </xf>
    <xf numFmtId="0" fontId="40" fillId="0" borderId="22" applyAlignment="1" pivotButton="0" quotePrefix="0" xfId="0">
      <alignment horizontal="center" vertical="center" wrapText="1"/>
    </xf>
    <xf numFmtId="0" fontId="40" fillId="0" borderId="26" applyAlignment="1" pivotButton="0" quotePrefix="0" xfId="0">
      <alignment horizontal="center" vertical="center" wrapText="1"/>
    </xf>
    <xf numFmtId="0" fontId="40" fillId="0" borderId="1" applyAlignment="1" pivotButton="0" quotePrefix="0" xfId="0">
      <alignment horizontal="center" vertical="center" wrapText="1"/>
    </xf>
    <xf numFmtId="0" fontId="40" fillId="0" borderId="2" applyAlignment="1" pivotButton="0" quotePrefix="0" xfId="0">
      <alignment horizontal="center" vertical="center" wrapText="1"/>
    </xf>
    <xf numFmtId="0" fontId="40" fillId="0" borderId="7" applyAlignment="1" pivotButton="0" quotePrefix="0" xfId="0">
      <alignment horizontal="center" vertical="center" wrapText="1"/>
    </xf>
    <xf numFmtId="0" fontId="41" fillId="32" borderId="2" applyAlignment="1" pivotButton="0" quotePrefix="0" xfId="0">
      <alignment horizontal="left" vertical="center" wrapText="1"/>
    </xf>
    <xf numFmtId="0" fontId="41" fillId="32" borderId="7" applyAlignment="1" pivotButton="0" quotePrefix="0" xfId="0">
      <alignment horizontal="left" vertical="center" wrapText="1"/>
    </xf>
    <xf numFmtId="0" fontId="41" fillId="32" borderId="5" applyAlignment="1" pivotButton="0" quotePrefix="0" xfId="0">
      <alignment horizontal="left" vertical="center" wrapText="1"/>
    </xf>
    <xf numFmtId="3" fontId="40" fillId="32" borderId="2" applyAlignment="1" pivotButton="0" quotePrefix="0" xfId="0">
      <alignment horizontal="right" vertical="center" wrapText="1"/>
    </xf>
    <xf numFmtId="3" fontId="40" fillId="32" borderId="7" applyAlignment="1" pivotButton="0" quotePrefix="0" xfId="0">
      <alignment horizontal="right" vertical="center" wrapText="1"/>
    </xf>
    <xf numFmtId="3" fontId="40" fillId="32" borderId="5" applyAlignment="1" pivotButton="0" quotePrefix="0" xfId="0">
      <alignment horizontal="right" vertical="center" wrapText="1"/>
    </xf>
    <xf numFmtId="0" fontId="41" fillId="17" borderId="1" applyAlignment="1" pivotButton="0" quotePrefix="0" xfId="0">
      <alignment horizontal="left" vertical="center" wrapText="1"/>
    </xf>
    <xf numFmtId="3" fontId="40" fillId="17" borderId="2" applyAlignment="1" pivotButton="0" quotePrefix="0" xfId="0">
      <alignment horizontal="right" vertical="center"/>
    </xf>
    <xf numFmtId="3" fontId="40" fillId="17" borderId="7" applyAlignment="1" pivotButton="0" quotePrefix="0" xfId="0">
      <alignment horizontal="right" vertical="center"/>
    </xf>
    <xf numFmtId="3" fontId="40" fillId="17" borderId="5" applyAlignment="1" pivotButton="0" quotePrefix="0" xfId="0">
      <alignment horizontal="right" vertical="center"/>
    </xf>
    <xf numFmtId="3" fontId="40" fillId="17" borderId="1" applyAlignment="1" pivotButton="0" quotePrefix="0" xfId="0">
      <alignment horizontal="right"/>
    </xf>
    <xf numFmtId="3" fontId="41" fillId="0" borderId="2" applyAlignment="1" pivotButton="0" quotePrefix="0" xfId="0">
      <alignment horizontal="right" vertical="center"/>
    </xf>
    <xf numFmtId="3" fontId="41" fillId="0" borderId="7" applyAlignment="1" pivotButton="0" quotePrefix="0" xfId="0">
      <alignment horizontal="right" vertical="center"/>
    </xf>
    <xf numFmtId="3" fontId="41" fillId="0" borderId="5" applyAlignment="1" pivotButton="0" quotePrefix="0" xfId="0">
      <alignment horizontal="right" vertical="center"/>
    </xf>
    <xf numFmtId="3" fontId="41" fillId="0" borderId="2" applyAlignment="1" pivotButton="0" quotePrefix="0" xfId="0">
      <alignment horizontal="right"/>
    </xf>
    <xf numFmtId="0" fontId="40" fillId="0" borderId="1" applyAlignment="1" pivotButton="0" quotePrefix="0" xfId="0">
      <alignment horizontal="left" vertical="top" wrapText="1"/>
    </xf>
    <xf numFmtId="0" fontId="41" fillId="27" borderId="17" applyAlignment="1" pivotButton="0" quotePrefix="0" xfId="0">
      <alignment horizontal="center"/>
    </xf>
    <xf numFmtId="0" fontId="41" fillId="27" borderId="0" applyAlignment="1" pivotButton="0" quotePrefix="0" xfId="0">
      <alignment horizontal="center"/>
    </xf>
    <xf numFmtId="3" fontId="40" fillId="17" borderId="1" applyAlignment="1" pivotButton="0" quotePrefix="0" xfId="0">
      <alignment horizontal="right" vertical="center" wrapText="1"/>
    </xf>
    <xf numFmtId="0" fontId="40" fillId="0" borderId="1" applyAlignment="1" pivotButton="0" quotePrefix="0" xfId="0">
      <alignment horizontal="left" vertical="center" wrapText="1"/>
    </xf>
    <xf numFmtId="0" fontId="65" fillId="0" borderId="6" applyAlignment="1" pivotButton="0" quotePrefix="0" xfId="0">
      <alignment horizontal="center" vertical="center" textRotation="90" wrapText="1"/>
    </xf>
    <xf numFmtId="0" fontId="65" fillId="0" borderId="21" applyAlignment="1" pivotButton="0" quotePrefix="0" xfId="0">
      <alignment horizontal="center" vertical="center" textRotation="90" wrapText="1"/>
    </xf>
    <xf numFmtId="0" fontId="65" fillId="0" borderId="3" applyAlignment="1" pivotButton="0" quotePrefix="0" xfId="0">
      <alignment horizontal="center" vertical="center" textRotation="90" wrapText="1"/>
    </xf>
    <xf numFmtId="3" fontId="41" fillId="17" borderId="1" applyAlignment="1" pivotButton="0" quotePrefix="0" xfId="0">
      <alignment horizontal="right" vertical="center" wrapText="1"/>
    </xf>
    <xf numFmtId="3" fontId="41" fillId="23" borderId="2" applyAlignment="1" pivotButton="0" quotePrefix="0" xfId="0">
      <alignment horizontal="right" vertical="center" wrapText="1"/>
    </xf>
    <xf numFmtId="3" fontId="41" fillId="23" borderId="7" applyAlignment="1" pivotButton="0" quotePrefix="0" xfId="0">
      <alignment horizontal="right" vertical="center" wrapText="1"/>
    </xf>
    <xf numFmtId="3" fontId="41" fillId="23" borderId="5" applyAlignment="1" pivotButton="0" quotePrefix="0" xfId="0">
      <alignment horizontal="right" vertical="center" wrapText="1"/>
    </xf>
    <xf numFmtId="0" fontId="67" fillId="0" borderId="1" applyAlignment="1" pivotButton="0" quotePrefix="0" xfId="0">
      <alignment horizontal="center" vertical="center" wrapText="1"/>
    </xf>
    <xf numFmtId="0" fontId="41" fillId="17" borderId="22" applyAlignment="1" pivotButton="0" quotePrefix="0" xfId="0">
      <alignment horizontal="center"/>
    </xf>
    <xf numFmtId="0" fontId="41" fillId="17" borderId="26" applyAlignment="1" pivotButton="0" quotePrefix="0" xfId="0">
      <alignment horizontal="center"/>
    </xf>
    <xf numFmtId="0" fontId="41" fillId="17" borderId="17" applyAlignment="1" pivotButton="0" quotePrefix="0" xfId="0">
      <alignment horizontal="center"/>
    </xf>
    <xf numFmtId="0" fontId="41" fillId="17" borderId="0" applyAlignment="1" pivotButton="0" quotePrefix="0" xfId="0">
      <alignment horizontal="center"/>
    </xf>
    <xf numFmtId="0" fontId="41" fillId="17" borderId="4" applyAlignment="1" pivotButton="0" quotePrefix="0" xfId="0">
      <alignment horizontal="center"/>
    </xf>
    <xf numFmtId="0" fontId="41" fillId="17" borderId="23" applyAlignment="1" pivotButton="0" quotePrefix="0" xfId="0">
      <alignment horizontal="center"/>
    </xf>
    <xf numFmtId="0" fontId="66" fillId="27" borderId="1" applyAlignment="1" pivotButton="0" quotePrefix="0" xfId="0">
      <alignment horizontal="center" vertical="center" wrapText="1"/>
    </xf>
    <xf numFmtId="0" fontId="30" fillId="10" borderId="2" applyAlignment="1" pivotButton="0" quotePrefix="0" xfId="0">
      <alignment horizontal="left"/>
    </xf>
    <xf numFmtId="0" fontId="30" fillId="10" borderId="5" applyAlignment="1" pivotButton="0" quotePrefix="0" xfId="0">
      <alignment horizontal="left"/>
    </xf>
    <xf numFmtId="165" fontId="0" fillId="0" borderId="17" applyAlignment="1" pivotButton="0" quotePrefix="0" xfId="2">
      <alignment horizontal="center"/>
    </xf>
    <xf numFmtId="165" fontId="0" fillId="0" borderId="0" applyAlignment="1" pivotButton="0" quotePrefix="0" xfId="2">
      <alignment horizontal="center"/>
    </xf>
    <xf numFmtId="165" fontId="0" fillId="0" borderId="25" applyAlignment="1" pivotButton="0" quotePrefix="0" xfId="2">
      <alignment horizontal="center"/>
    </xf>
    <xf numFmtId="0" fontId="40" fillId="32" borderId="7" applyAlignment="1" pivotButton="0" quotePrefix="0" xfId="0">
      <alignment horizontal="left" vertical="center" wrapText="1"/>
    </xf>
    <xf numFmtId="0" fontId="30" fillId="0" borderId="1" applyAlignment="1" pivotButton="0" quotePrefix="0" xfId="0">
      <alignment horizontal="left"/>
    </xf>
    <xf numFmtId="0" fontId="40" fillId="17" borderId="1" applyAlignment="1" pivotButton="0" quotePrefix="0" xfId="0">
      <alignment horizontal="left" vertical="center"/>
    </xf>
    <xf numFmtId="0" fontId="41" fillId="0" borderId="2" applyAlignment="1" pivotButton="0" quotePrefix="0" xfId="0">
      <alignment horizontal="left" vertical="top" wrapText="1"/>
    </xf>
    <xf numFmtId="0" fontId="41" fillId="0" borderId="7" applyAlignment="1" pivotButton="0" quotePrefix="0" xfId="0">
      <alignment horizontal="left" vertical="top" wrapText="1"/>
    </xf>
    <xf numFmtId="0" fontId="41" fillId="0" borderId="5" applyAlignment="1" pivotButton="0" quotePrefix="0" xfId="0">
      <alignment horizontal="left" vertical="top" wrapText="1"/>
    </xf>
    <xf numFmtId="3" fontId="41" fillId="17" borderId="1" applyAlignment="1" pivotButton="0" quotePrefix="0" xfId="2">
      <alignment horizontal="right" vertical="center" wrapText="1"/>
    </xf>
    <xf numFmtId="0" fontId="0" fillId="0" borderId="22" applyAlignment="1" pivotButton="0" quotePrefix="0" xfId="0">
      <alignment horizontal="center"/>
    </xf>
    <xf numFmtId="0" fontId="0" fillId="0" borderId="26" applyAlignment="1" pivotButton="0" quotePrefix="0" xfId="0">
      <alignment horizontal="center"/>
    </xf>
    <xf numFmtId="0" fontId="0" fillId="0" borderId="24" applyAlignment="1" pivotButton="0" quotePrefix="0" xfId="0">
      <alignment horizontal="center"/>
    </xf>
    <xf numFmtId="0" fontId="0" fillId="0" borderId="17" applyAlignment="1" pivotButton="0" quotePrefix="0" xfId="0">
      <alignment horizontal="center"/>
    </xf>
    <xf numFmtId="0" fontId="0" fillId="0" borderId="0" applyAlignment="1" pivotButton="0" quotePrefix="0" xfId="0">
      <alignment horizontal="center"/>
    </xf>
    <xf numFmtId="0" fontId="0" fillId="0" borderId="25" applyAlignment="1" pivotButton="0" quotePrefix="0" xfId="0">
      <alignment horizontal="center"/>
    </xf>
    <xf numFmtId="0" fontId="0" fillId="0" borderId="4" applyAlignment="1" pivotButton="0" quotePrefix="0" xfId="0">
      <alignment horizontal="center"/>
    </xf>
    <xf numFmtId="0" fontId="0" fillId="0" borderId="23" applyAlignment="1" pivotButton="0" quotePrefix="0" xfId="0">
      <alignment horizontal="center"/>
    </xf>
    <xf numFmtId="0" fontId="0" fillId="0" borderId="16" applyAlignment="1" pivotButton="0" quotePrefix="0" xfId="0">
      <alignment horizontal="center"/>
    </xf>
    <xf numFmtId="0" fontId="65" fillId="0" borderId="1" applyAlignment="1" pivotButton="0" quotePrefix="0" xfId="0">
      <alignment horizontal="center" vertical="center" textRotation="90" wrapText="1"/>
    </xf>
    <xf numFmtId="0" fontId="65" fillId="0" borderId="1" applyAlignment="1" pivotButton="0" quotePrefix="0" xfId="0">
      <alignment horizontal="center" vertical="center" textRotation="90"/>
    </xf>
    <xf numFmtId="3" fontId="40" fillId="17" borderId="2" applyAlignment="1" pivotButton="0" quotePrefix="0" xfId="0">
      <alignment horizontal="right" vertical="center" wrapText="1"/>
    </xf>
    <xf numFmtId="3" fontId="40" fillId="17" borderId="7" applyAlignment="1" pivotButton="0" quotePrefix="0" xfId="0">
      <alignment horizontal="right" vertical="center" wrapText="1"/>
    </xf>
    <xf numFmtId="3" fontId="40" fillId="17" borderId="5" applyAlignment="1" pivotButton="0" quotePrefix="0" xfId="0">
      <alignment horizontal="right" vertical="center" wrapText="1"/>
    </xf>
    <xf numFmtId="3" fontId="41" fillId="0" borderId="2" applyAlignment="1" pivotButton="0" quotePrefix="0" xfId="2">
      <alignment horizontal="right" vertical="center" wrapText="1"/>
    </xf>
    <xf numFmtId="3" fontId="41" fillId="0" borderId="7" applyAlignment="1" pivotButton="0" quotePrefix="0" xfId="2">
      <alignment horizontal="right" vertical="center" wrapText="1"/>
    </xf>
    <xf numFmtId="3" fontId="41" fillId="0" borderId="5" applyAlignment="1" pivotButton="0" quotePrefix="0" xfId="2">
      <alignment horizontal="right" vertical="center" wrapText="1"/>
    </xf>
    <xf numFmtId="3" fontId="41" fillId="17" borderId="2" applyAlignment="1" pivotButton="0" quotePrefix="0" xfId="2">
      <alignment horizontal="right" vertical="center" wrapText="1"/>
    </xf>
    <xf numFmtId="3" fontId="41" fillId="17" borderId="7" applyAlignment="1" pivotButton="0" quotePrefix="0" xfId="2">
      <alignment horizontal="right" vertical="center" wrapText="1"/>
    </xf>
    <xf numFmtId="3" fontId="41" fillId="17" borderId="5" applyAlignment="1" pivotButton="0" quotePrefix="0" xfId="2">
      <alignment horizontal="right" vertical="center" wrapText="1"/>
    </xf>
    <xf numFmtId="0" fontId="32" fillId="0" borderId="3" applyAlignment="1" pivotButton="0" quotePrefix="0" xfId="0">
      <alignment horizontal="left" vertical="center" wrapText="1"/>
    </xf>
    <xf numFmtId="0" fontId="32" fillId="0" borderId="1" applyAlignment="1" pivotButton="0" quotePrefix="0" xfId="0">
      <alignment horizontal="left" vertical="center" wrapText="1"/>
    </xf>
    <xf numFmtId="3" fontId="41" fillId="0" borderId="1" applyAlignment="1" pivotButton="0" quotePrefix="0" xfId="2">
      <alignment horizontal="right" vertical="center" wrapText="1"/>
    </xf>
    <xf numFmtId="0" fontId="40" fillId="17" borderId="2" applyAlignment="1" pivotButton="0" quotePrefix="0" xfId="0">
      <alignment horizontal="center" vertical="center" wrapText="1"/>
    </xf>
    <xf numFmtId="0" fontId="40" fillId="17" borderId="7" applyAlignment="1" pivotButton="0" quotePrefix="0" xfId="0">
      <alignment horizontal="center" vertical="center" wrapText="1"/>
    </xf>
    <xf numFmtId="0" fontId="40" fillId="17" borderId="5" applyAlignment="1" pivotButton="0" quotePrefix="0" xfId="0">
      <alignment horizontal="center" vertical="center" wrapText="1"/>
    </xf>
    <xf numFmtId="0" fontId="40" fillId="17" borderId="2" applyAlignment="1" pivotButton="0" quotePrefix="0" xfId="0">
      <alignment horizontal="left" vertical="center"/>
    </xf>
    <xf numFmtId="0" fontId="40" fillId="17" borderId="7" applyAlignment="1" pivotButton="0" quotePrefix="0" xfId="0">
      <alignment horizontal="left" vertical="center"/>
    </xf>
    <xf numFmtId="0" fontId="40" fillId="17" borderId="5" applyAlignment="1" pivotButton="0" quotePrefix="0" xfId="0">
      <alignment horizontal="left" vertical="center"/>
    </xf>
    <xf numFmtId="0" fontId="40" fillId="32" borderId="2" applyAlignment="1" pivotButton="0" quotePrefix="0" xfId="0">
      <alignment horizontal="left" vertical="top" wrapText="1"/>
    </xf>
    <xf numFmtId="0" fontId="40" fillId="32" borderId="7" applyAlignment="1" pivotButton="0" quotePrefix="0" xfId="0">
      <alignment horizontal="left" vertical="top" wrapText="1"/>
    </xf>
    <xf numFmtId="0" fontId="40" fillId="32" borderId="5" applyAlignment="1" pivotButton="0" quotePrefix="0" xfId="0">
      <alignment horizontal="left" vertical="top" wrapText="1"/>
    </xf>
    <xf numFmtId="3" fontId="41" fillId="32" borderId="1" applyAlignment="1" pivotButton="0" quotePrefix="0" xfId="0">
      <alignment horizontal="center" vertical="center" wrapText="1"/>
    </xf>
    <xf numFmtId="0" fontId="41" fillId="32" borderId="2" applyAlignment="1" pivotButton="0" quotePrefix="0" xfId="0">
      <alignment horizontal="center" vertical="center" wrapText="1"/>
    </xf>
    <xf numFmtId="0" fontId="41" fillId="32" borderId="7" applyAlignment="1" pivotButton="0" quotePrefix="0" xfId="0">
      <alignment horizontal="center" vertical="center" wrapText="1"/>
    </xf>
    <xf numFmtId="0" fontId="41" fillId="32" borderId="5" applyAlignment="1" pivotButton="0" quotePrefix="0" xfId="0">
      <alignment horizontal="center" vertical="center" wrapText="1"/>
    </xf>
    <xf numFmtId="3" fontId="41" fillId="32" borderId="1" applyAlignment="1" pivotButton="0" quotePrefix="0" xfId="0">
      <alignment horizontal="right" vertical="center" wrapText="1"/>
    </xf>
    <xf numFmtId="0" fontId="40" fillId="32" borderId="2" applyAlignment="1" pivotButton="0" quotePrefix="0" xfId="0">
      <alignment horizontal="left" vertical="center" wrapText="1"/>
    </xf>
    <xf numFmtId="0" fontId="40" fillId="32" borderId="5" applyAlignment="1" pivotButton="0" quotePrefix="0" xfId="0">
      <alignment horizontal="left" vertical="center" wrapText="1"/>
    </xf>
    <xf numFmtId="0" fontId="40" fillId="32" borderId="1" applyAlignment="1" pivotButton="0" quotePrefix="0" xfId="0">
      <alignment horizontal="left" vertical="center" wrapText="1"/>
    </xf>
    <xf numFmtId="0" fontId="41" fillId="17" borderId="22" applyAlignment="1" pivotButton="0" quotePrefix="0" xfId="0">
      <alignment horizontal="left" vertical="center" wrapText="1"/>
    </xf>
    <xf numFmtId="0" fontId="41" fillId="17" borderId="26" applyAlignment="1" pivotButton="0" quotePrefix="0" xfId="0">
      <alignment horizontal="left" vertical="center" wrapText="1"/>
    </xf>
    <xf numFmtId="0" fontId="41" fillId="17" borderId="24" applyAlignment="1" pivotButton="0" quotePrefix="0" xfId="0">
      <alignment horizontal="left" vertical="center" wrapText="1"/>
    </xf>
    <xf numFmtId="0" fontId="41" fillId="0" borderId="22" applyAlignment="1" pivotButton="0" quotePrefix="0" xfId="0">
      <alignment horizontal="left" vertical="center" wrapText="1"/>
    </xf>
    <xf numFmtId="0" fontId="41" fillId="0" borderId="26" applyAlignment="1" pivotButton="0" quotePrefix="0" xfId="0">
      <alignment horizontal="left" vertical="center" wrapText="1"/>
    </xf>
    <xf numFmtId="0" fontId="41" fillId="0" borderId="24" applyAlignment="1" pivotButton="0" quotePrefix="0" xfId="0">
      <alignment horizontal="left" vertical="center" wrapText="1"/>
    </xf>
    <xf numFmtId="0" fontId="65" fillId="0" borderId="2" applyAlignment="1" pivotButton="0" quotePrefix="0" xfId="0">
      <alignment horizontal="center" vertical="center" textRotation="90" wrapText="1"/>
    </xf>
    <xf numFmtId="0" fontId="65" fillId="0" borderId="7" applyAlignment="1" pivotButton="0" quotePrefix="0" xfId="0">
      <alignment horizontal="center" vertical="center" textRotation="90" wrapText="1"/>
    </xf>
    <xf numFmtId="0" fontId="65" fillId="0" borderId="5" applyAlignment="1" pivotButton="0" quotePrefix="0" xfId="0">
      <alignment horizontal="center" vertical="center" textRotation="90" wrapText="1"/>
    </xf>
    <xf numFmtId="0" fontId="41" fillId="17" borderId="1" applyAlignment="1" pivotButton="0" quotePrefix="0" xfId="0">
      <alignment horizontal="right" vertical="center" wrapText="1"/>
    </xf>
    <xf numFmtId="0" fontId="41" fillId="17" borderId="2" applyAlignment="1" pivotButton="0" quotePrefix="0" xfId="0">
      <alignment horizontal="center" vertical="center" wrapText="1"/>
    </xf>
    <xf numFmtId="0" fontId="41" fillId="17" borderId="7" applyAlignment="1" pivotButton="0" quotePrefix="0" xfId="0">
      <alignment horizontal="center" vertical="center" wrapText="1"/>
    </xf>
    <xf numFmtId="0" fontId="41" fillId="17" borderId="5" applyAlignment="1" pivotButton="0" quotePrefix="0" xfId="0">
      <alignment horizontal="center" vertical="center" wrapText="1"/>
    </xf>
    <xf numFmtId="0" fontId="0" fillId="0" borderId="2" applyAlignment="1" pivotButton="0" quotePrefix="0" xfId="0">
      <alignment horizontal="left"/>
    </xf>
    <xf numFmtId="0" fontId="0" fillId="0" borderId="5" applyAlignment="1" pivotButton="0" quotePrefix="0" xfId="0">
      <alignment horizontal="left"/>
    </xf>
    <xf numFmtId="0" fontId="0" fillId="0" borderId="1" applyAlignment="1" pivotButton="0" quotePrefix="0" xfId="0">
      <alignment horizontal="left"/>
    </xf>
    <xf numFmtId="3" fontId="40" fillId="23" borderId="1" applyAlignment="1" pivotButton="0" quotePrefix="0" xfId="2">
      <alignment horizontal="right" vertical="center" wrapText="1"/>
    </xf>
    <xf numFmtId="164" fontId="41" fillId="0" borderId="2" applyAlignment="1" pivotButton="0" quotePrefix="0" xfId="0">
      <alignment horizontal="right" vertical="center" wrapText="1"/>
    </xf>
    <xf numFmtId="164" fontId="41" fillId="0" borderId="7" applyAlignment="1" pivotButton="0" quotePrefix="0" xfId="0">
      <alignment horizontal="right" vertical="center" wrapText="1"/>
    </xf>
    <xf numFmtId="164" fontId="41" fillId="0" borderId="5" applyAlignment="1" pivotButton="0" quotePrefix="0" xfId="0">
      <alignment horizontal="right" vertical="center" wrapText="1"/>
    </xf>
    <xf numFmtId="0" fontId="41" fillId="0" borderId="6" applyAlignment="1" pivotButton="0" quotePrefix="0" xfId="0">
      <alignment horizontal="center" vertical="center" textRotation="90" wrapText="1"/>
    </xf>
    <xf numFmtId="0" fontId="41" fillId="0" borderId="3" applyAlignment="1" pivotButton="0" quotePrefix="0" xfId="0">
      <alignment horizontal="center" vertical="center" textRotation="90" wrapText="1"/>
    </xf>
    <xf numFmtId="0" fontId="50" fillId="5" borderId="22" applyAlignment="1" pivotButton="0" quotePrefix="0" xfId="0">
      <alignment horizontal="center" vertical="center" wrapText="1"/>
    </xf>
    <xf numFmtId="0" fontId="50" fillId="5" borderId="24" applyAlignment="1" pivotButton="0" quotePrefix="0" xfId="0">
      <alignment horizontal="center" vertical="center" wrapText="1"/>
    </xf>
    <xf numFmtId="0" fontId="50" fillId="5" borderId="4" applyAlignment="1" pivotButton="0" quotePrefix="0" xfId="0">
      <alignment horizontal="center" vertical="center" wrapText="1"/>
    </xf>
    <xf numFmtId="0" fontId="50" fillId="5" borderId="16" applyAlignment="1" pivotButton="0" quotePrefix="0" xfId="0">
      <alignment horizontal="center" vertical="center" wrapText="1"/>
    </xf>
    <xf numFmtId="0" fontId="36" fillId="20" borderId="1" applyAlignment="1" pivotButton="0" quotePrefix="0" xfId="0">
      <alignment horizontal="justify" vertical="justify" wrapText="1" readingOrder="1"/>
    </xf>
    <xf numFmtId="0" fontId="16" fillId="8" borderId="1" applyAlignment="1" pivotButton="0" quotePrefix="0" xfId="0">
      <alignment horizontal="center" vertical="center" wrapText="1"/>
    </xf>
    <xf numFmtId="0" fontId="16" fillId="21" borderId="1" applyAlignment="1" pivotButton="0" quotePrefix="0" xfId="0">
      <alignment horizontal="justify" vertical="top" wrapText="1"/>
    </xf>
    <xf numFmtId="0" fontId="34" fillId="0" borderId="1" applyAlignment="1" pivotButton="0" quotePrefix="0" xfId="0">
      <alignment horizontal="center" wrapText="1" readingOrder="1"/>
    </xf>
    <xf numFmtId="0" fontId="34" fillId="8" borderId="1" applyAlignment="1" pivotButton="0" quotePrefix="0" xfId="0">
      <alignment horizontal="center" wrapText="1" readingOrder="1"/>
    </xf>
    <xf numFmtId="0" fontId="32" fillId="10" borderId="1" applyAlignment="1" pivotButton="0" quotePrefix="0" xfId="0">
      <alignment horizontal="center" vertical="center" wrapText="1" readingOrder="1"/>
    </xf>
    <xf numFmtId="0" fontId="36" fillId="2" borderId="1" applyAlignment="1" pivotButton="0" quotePrefix="0" xfId="0">
      <alignment horizontal="justify" vertical="justify" wrapText="1" readingOrder="1"/>
    </xf>
    <xf numFmtId="0" fontId="33" fillId="19" borderId="1" applyAlignment="1" pivotButton="0" quotePrefix="0" xfId="0">
      <alignment horizontal="justify" vertical="justify" wrapText="1" readingOrder="1"/>
    </xf>
    <xf numFmtId="0" fontId="32" fillId="0" borderId="2" applyAlignment="1" pivotButton="0" quotePrefix="0" xfId="0">
      <alignment horizontal="center" vertical="center" wrapText="1"/>
    </xf>
    <xf numFmtId="0" fontId="32" fillId="0" borderId="7" applyAlignment="1" pivotButton="0" quotePrefix="0" xfId="0">
      <alignment horizontal="center" vertical="center" wrapText="1"/>
    </xf>
    <xf numFmtId="0" fontId="32" fillId="0" borderId="5" applyAlignment="1" pivotButton="0" quotePrefix="0" xfId="0">
      <alignment horizontal="center" vertical="center" wrapText="1"/>
    </xf>
    <xf numFmtId="0" fontId="42" fillId="13" borderId="4" applyAlignment="1" pivotButton="0" quotePrefix="0" xfId="0">
      <alignment horizontal="center"/>
    </xf>
    <xf numFmtId="0" fontId="42" fillId="13" borderId="23" applyAlignment="1" pivotButton="0" quotePrefix="0" xfId="0">
      <alignment horizontal="center"/>
    </xf>
    <xf numFmtId="0" fontId="33" fillId="28" borderId="2" applyAlignment="1" applyProtection="1" pivotButton="0" quotePrefix="0" xfId="0">
      <alignment horizontal="left" vertical="center" wrapText="1"/>
      <protection locked="0" hidden="0"/>
    </xf>
    <xf numFmtId="0" fontId="33" fillId="28" borderId="7" applyAlignment="1" applyProtection="1" pivotButton="0" quotePrefix="0" xfId="0">
      <alignment horizontal="left" vertical="center" wrapText="1"/>
      <protection locked="0" hidden="0"/>
    </xf>
    <xf numFmtId="0" fontId="33" fillId="0" borderId="23" applyAlignment="1" applyProtection="1" pivotButton="0" quotePrefix="0" xfId="0">
      <alignment horizontal="center" vertical="center" wrapText="1"/>
      <protection locked="0" hidden="0"/>
    </xf>
    <xf numFmtId="0" fontId="33" fillId="0" borderId="0" applyAlignment="1" applyProtection="1" pivotButton="0" quotePrefix="0" xfId="0">
      <alignment horizontal="center" vertical="center" wrapText="1"/>
      <protection locked="0" hidden="0"/>
    </xf>
    <xf numFmtId="0" fontId="32" fillId="14" borderId="2" applyAlignment="1" pivotButton="0" quotePrefix="0" xfId="0">
      <alignment horizontal="center" vertical="center" wrapText="1"/>
    </xf>
    <xf numFmtId="0" fontId="32" fillId="14" borderId="5" applyAlignment="1" pivotButton="0" quotePrefix="0" xfId="0">
      <alignment horizontal="center" vertical="center" wrapText="1"/>
    </xf>
    <xf numFmtId="0" fontId="42" fillId="13" borderId="2" applyAlignment="1" pivotButton="0" quotePrefix="0" xfId="0">
      <alignment horizontal="left" vertical="center" wrapText="1"/>
    </xf>
    <xf numFmtId="0" fontId="42" fillId="13" borderId="5" applyAlignment="1" pivotButton="0" quotePrefix="0" xfId="0">
      <alignment horizontal="left" vertical="center" wrapText="1"/>
    </xf>
    <xf numFmtId="0" fontId="83" fillId="28" borderId="2" applyAlignment="1" applyProtection="1" pivotButton="0" quotePrefix="0" xfId="0">
      <alignment horizontal="left" vertical="center" wrapText="1"/>
      <protection locked="0" hidden="0"/>
    </xf>
    <xf numFmtId="0" fontId="6" fillId="18" borderId="1" applyAlignment="1" applyProtection="1" pivotButton="0" quotePrefix="0" xfId="11">
      <alignment horizontal="center" vertical="center" wrapText="1"/>
      <protection locked="0" hidden="0"/>
    </xf>
    <xf numFmtId="0" fontId="33" fillId="28" borderId="1" applyAlignment="1" applyProtection="1" pivotButton="0" quotePrefix="0" xfId="0">
      <alignment horizontal="left" vertical="center" wrapText="1"/>
      <protection locked="0" hidden="0"/>
    </xf>
    <xf numFmtId="0" fontId="33" fillId="28" borderId="5" applyAlignment="1" applyProtection="1" pivotButton="0" quotePrefix="0" xfId="0">
      <alignment horizontal="left" vertical="center" wrapText="1"/>
      <protection locked="0" hidden="0"/>
    </xf>
    <xf numFmtId="0" fontId="83" fillId="28" borderId="1" applyAlignment="1" applyProtection="1" pivotButton="0" quotePrefix="0" xfId="0">
      <alignment horizontal="left" vertical="center" wrapText="1"/>
      <protection locked="0" hidden="0"/>
    </xf>
    <xf numFmtId="0" fontId="32" fillId="25" borderId="2" applyAlignment="1" pivotButton="0" quotePrefix="0" xfId="0">
      <alignment horizontal="left" vertical="center" wrapText="1"/>
    </xf>
    <xf numFmtId="0" fontId="32" fillId="25" borderId="5"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7" applyAlignment="1" pivotButton="0" quotePrefix="0" xfId="0">
      <alignment horizontal="left" vertical="center" wrapText="1"/>
    </xf>
    <xf numFmtId="0" fontId="32" fillId="0" borderId="5" applyAlignment="1" pivotButton="0" quotePrefix="0" xfId="0">
      <alignment horizontal="left" vertical="center" wrapText="1"/>
    </xf>
    <xf numFmtId="0" fontId="42" fillId="13" borderId="2" applyAlignment="1" pivotButton="0" quotePrefix="0" xfId="0">
      <alignment horizontal="center"/>
    </xf>
    <xf numFmtId="0" fontId="42" fillId="13" borderId="7" applyAlignment="1" pivotButton="0" quotePrefix="0" xfId="0">
      <alignment horizontal="center"/>
    </xf>
    <xf numFmtId="0" fontId="42" fillId="13" borderId="5" applyAlignment="1" pivotButton="0" quotePrefix="0" xfId="0">
      <alignment horizontal="center"/>
    </xf>
    <xf numFmtId="0" fontId="42" fillId="15" borderId="1" applyAlignment="1" pivotButton="0" quotePrefix="0" xfId="0">
      <alignment horizontal="center" vertical="center" wrapText="1"/>
    </xf>
    <xf numFmtId="0" fontId="28" fillId="13" borderId="1" applyAlignment="1" pivotButton="0" quotePrefix="0" xfId="0">
      <alignment horizontal="center"/>
    </xf>
    <xf numFmtId="0" fontId="0" fillId="29" borderId="1" applyAlignment="1" pivotButton="0" quotePrefix="0" xfId="0">
      <alignment horizontal="center"/>
    </xf>
    <xf numFmtId="0" fontId="0" fillId="29" borderId="2" applyAlignment="1" pivotButton="0" quotePrefix="0" xfId="0">
      <alignment horizontal="center"/>
    </xf>
    <xf numFmtId="0" fontId="0" fillId="29" borderId="5" applyAlignment="1" pivotButton="0" quotePrefix="0" xfId="0">
      <alignment horizontal="center"/>
    </xf>
    <xf numFmtId="0" fontId="28" fillId="13" borderId="23" applyAlignment="1" pivotButton="0" quotePrefix="0" xfId="0">
      <alignment horizontal="center"/>
    </xf>
    <xf numFmtId="3" fontId="32" fillId="3" borderId="24" applyAlignment="1" pivotButton="0" quotePrefix="0" xfId="0">
      <alignment horizontal="center" vertical="center"/>
    </xf>
    <xf numFmtId="3" fontId="32" fillId="3" borderId="16" applyAlignment="1" pivotButton="0" quotePrefix="0" xfId="0">
      <alignment horizontal="center" vertical="center"/>
    </xf>
    <xf numFmtId="0" fontId="0" fillId="0" borderId="1" applyAlignment="1" pivotButton="0" quotePrefix="0" xfId="0">
      <alignment horizontal="center" wrapText="1"/>
    </xf>
    <xf numFmtId="3" fontId="0" fillId="0" borderId="26" applyAlignment="1" pivotButton="0" quotePrefix="0" xfId="0">
      <alignment horizontal="center"/>
    </xf>
    <xf numFmtId="0" fontId="28" fillId="13" borderId="8" applyAlignment="1" pivotButton="0" quotePrefix="0" xfId="0">
      <alignment horizontal="center" wrapText="1"/>
    </xf>
    <xf numFmtId="0" fontId="28" fillId="13" borderId="1" applyAlignment="1" pivotButton="0" quotePrefix="0" xfId="0">
      <alignment horizontal="center" wrapText="1"/>
    </xf>
    <xf numFmtId="0" fontId="28" fillId="13" borderId="13" applyAlignment="1" pivotButton="0" quotePrefix="0" xfId="0">
      <alignment horizontal="center" wrapText="1"/>
    </xf>
    <xf numFmtId="0" fontId="28" fillId="13" borderId="14" applyAlignment="1" pivotButton="0" quotePrefix="0" xfId="0">
      <alignment horizontal="center" wrapText="1"/>
    </xf>
    <xf numFmtId="0" fontId="28" fillId="13" borderId="10" applyAlignment="1" pivotButton="0" quotePrefix="0" xfId="0">
      <alignment horizontal="center"/>
    </xf>
    <xf numFmtId="0" fontId="28" fillId="13" borderId="8" applyAlignment="1" pivotButton="0" quotePrefix="0" xfId="0">
      <alignment horizontal="center"/>
    </xf>
    <xf numFmtId="3" fontId="42" fillId="13" borderId="4" applyAlignment="1" pivotButton="0" quotePrefix="0" xfId="0">
      <alignment horizontal="center" vertical="center" wrapText="1"/>
    </xf>
    <xf numFmtId="3" fontId="42" fillId="13" borderId="23" applyAlignment="1" pivotButton="0" quotePrefix="0" xfId="0">
      <alignment horizontal="center" vertical="center" wrapText="1"/>
    </xf>
    <xf numFmtId="3" fontId="42" fillId="13" borderId="16" applyAlignment="1" pivotButton="0" quotePrefix="0" xfId="0">
      <alignment horizontal="center" vertical="center" wrapText="1"/>
    </xf>
    <xf numFmtId="0" fontId="6" fillId="5" borderId="24" applyAlignment="1" pivotButton="0" quotePrefix="0" xfId="11">
      <alignment horizontal="center" vertical="center" textRotation="90"/>
    </xf>
    <xf numFmtId="0" fontId="6" fillId="5" borderId="25" applyAlignment="1" pivotButton="0" quotePrefix="0" xfId="11">
      <alignment horizontal="center" vertical="center" textRotation="90"/>
    </xf>
    <xf numFmtId="3" fontId="16" fillId="3" borderId="1" applyAlignment="1" pivotButton="0" quotePrefix="0" xfId="0">
      <alignment horizontal="center" vertical="center" wrapText="1"/>
    </xf>
    <xf numFmtId="3" fontId="32" fillId="3" borderId="6" applyAlignment="1" pivotButton="0" quotePrefix="0" xfId="11">
      <alignment horizontal="center" vertical="center" wrapText="1"/>
    </xf>
    <xf numFmtId="3" fontId="32" fillId="3" borderId="21" applyAlignment="1" pivotButton="0" quotePrefix="0" xfId="11">
      <alignment horizontal="center" vertical="center" wrapText="1"/>
    </xf>
    <xf numFmtId="3" fontId="32" fillId="3" borderId="3" applyAlignment="1" pivotButton="0" quotePrefix="0" xfId="11">
      <alignment horizontal="center" vertical="center" wrapText="1"/>
    </xf>
    <xf numFmtId="3" fontId="33" fillId="3" borderId="6" applyAlignment="1" pivotButton="0" quotePrefix="0" xfId="0">
      <alignment horizontal="center" vertical="center"/>
    </xf>
    <xf numFmtId="3" fontId="33" fillId="3" borderId="3" applyAlignment="1" pivotButton="0" quotePrefix="0" xfId="0">
      <alignment horizontal="center" vertical="center"/>
    </xf>
    <xf numFmtId="3" fontId="6" fillId="5" borderId="1" applyAlignment="1" pivotButton="0" quotePrefix="0" xfId="11">
      <alignment horizontal="center" vertical="center" textRotation="90" wrapText="1"/>
    </xf>
    <xf numFmtId="3" fontId="33" fillId="11" borderId="1" applyAlignment="1" applyProtection="1" pivotButton="0" quotePrefix="0" xfId="0">
      <alignment horizontal="left"/>
      <protection locked="0" hidden="0"/>
    </xf>
    <xf numFmtId="3" fontId="33" fillId="11" borderId="2" applyAlignment="1" applyProtection="1" pivotButton="0" quotePrefix="0" xfId="0">
      <alignment horizontal="left"/>
      <protection locked="0" hidden="0"/>
    </xf>
    <xf numFmtId="3" fontId="32" fillId="5" borderId="17" applyAlignment="1" pivotButton="0" quotePrefix="0" xfId="0">
      <alignment horizontal="center"/>
    </xf>
    <xf numFmtId="3" fontId="32" fillId="5" borderId="0" applyAlignment="1" pivotButton="0" quotePrefix="0" xfId="0">
      <alignment horizontal="center"/>
    </xf>
    <xf numFmtId="3" fontId="32" fillId="3" borderId="2" applyAlignment="1" pivotButton="0" quotePrefix="0" xfId="0">
      <alignment horizontal="center" vertical="center"/>
    </xf>
    <xf numFmtId="3" fontId="32" fillId="3" borderId="7" applyAlignment="1" pivotButton="0" quotePrefix="0" xfId="0">
      <alignment horizontal="center" vertical="center"/>
    </xf>
    <xf numFmtId="3" fontId="32" fillId="3" borderId="22" applyAlignment="1" pivotButton="0" quotePrefix="0" xfId="11">
      <alignment horizontal="center" vertical="center" wrapText="1"/>
    </xf>
    <xf numFmtId="3" fontId="32" fillId="3" borderId="17" applyAlignment="1" pivotButton="0" quotePrefix="0" xfId="11">
      <alignment horizontal="center" vertical="center" wrapText="1"/>
    </xf>
    <xf numFmtId="3" fontId="32" fillId="3" borderId="4" applyAlignment="1" pivotButton="0" quotePrefix="0" xfId="11">
      <alignment horizontal="center" vertical="center" wrapText="1"/>
    </xf>
    <xf numFmtId="3" fontId="32" fillId="3" borderId="26" applyAlignment="1" pivotButton="0" quotePrefix="0" xfId="11">
      <alignment horizontal="center" vertical="center" wrapText="1"/>
    </xf>
    <xf numFmtId="3" fontId="32" fillId="3" borderId="0" applyAlignment="1" pivotButton="0" quotePrefix="0" xfId="11">
      <alignment horizontal="center" vertical="center" wrapText="1"/>
    </xf>
    <xf numFmtId="3" fontId="32" fillId="3" borderId="23" applyAlignment="1" pivotButton="0" quotePrefix="0" xfId="11">
      <alignment horizontal="center" vertical="center" wrapText="1"/>
    </xf>
    <xf numFmtId="171" fontId="6" fillId="5" borderId="1" applyAlignment="1" pivotButton="0" quotePrefix="0" xfId="11">
      <alignment horizontal="center" textRotation="90"/>
    </xf>
    <xf numFmtId="171" fontId="6" fillId="5" borderId="21" applyAlignment="1" pivotButton="0" quotePrefix="0" xfId="11">
      <alignment horizontal="center" textRotation="90"/>
    </xf>
    <xf numFmtId="3" fontId="32" fillId="3" borderId="5" applyAlignment="1" pivotButton="0" quotePrefix="0" xfId="0">
      <alignment horizontal="center" vertical="center"/>
    </xf>
    <xf numFmtId="3" fontId="33" fillId="28" borderId="2" applyAlignment="1" pivotButton="0" quotePrefix="0" xfId="0">
      <alignment horizontal="right" vertical="center"/>
    </xf>
    <xf numFmtId="3" fontId="33" fillId="28" borderId="5" applyAlignment="1" pivotButton="0" quotePrefix="0" xfId="0">
      <alignment horizontal="right" vertical="center"/>
    </xf>
    <xf numFmtId="3" fontId="33" fillId="28" borderId="2" applyAlignment="1" applyProtection="1" pivotButton="0" quotePrefix="0" xfId="0">
      <alignment horizontal="left"/>
      <protection locked="0" hidden="0"/>
    </xf>
    <xf numFmtId="3" fontId="33" fillId="28" borderId="7" applyAlignment="1" applyProtection="1" pivotButton="0" quotePrefix="0" xfId="0">
      <alignment horizontal="left"/>
      <protection locked="0" hidden="0"/>
    </xf>
    <xf numFmtId="3" fontId="33" fillId="28" borderId="5" applyAlignment="1" applyProtection="1" pivotButton="0" quotePrefix="0" xfId="0">
      <alignment horizontal="left"/>
      <protection locked="0" hidden="0"/>
    </xf>
    <xf numFmtId="3" fontId="19" fillId="5" borderId="21" applyAlignment="1" pivotButton="0" quotePrefix="0" xfId="11">
      <alignment horizontal="center" vertical="center" textRotation="90" wrapText="1"/>
    </xf>
    <xf numFmtId="3" fontId="19" fillId="5" borderId="3" applyAlignment="1" pivotButton="0" quotePrefix="0" xfId="11">
      <alignment horizontal="center" vertical="center" textRotation="90" wrapText="1"/>
    </xf>
    <xf numFmtId="3" fontId="42" fillId="13" borderId="17" applyAlignment="1" pivotButton="0" quotePrefix="0" xfId="0">
      <alignment horizontal="center"/>
    </xf>
    <xf numFmtId="3" fontId="42" fillId="13" borderId="0" applyAlignment="1" pivotButton="0" quotePrefix="0" xfId="0">
      <alignment horizontal="center"/>
    </xf>
    <xf numFmtId="3" fontId="53" fillId="5" borderId="17" applyAlignment="1" pivotButton="0" quotePrefix="0" xfId="0">
      <alignment horizontal="center" wrapText="1"/>
    </xf>
    <xf numFmtId="3" fontId="53" fillId="5" borderId="0" applyAlignment="1" pivotButton="0" quotePrefix="0" xfId="0">
      <alignment horizontal="center" wrapText="1"/>
    </xf>
    <xf numFmtId="3" fontId="6" fillId="5" borderId="6" applyAlignment="1" pivotButton="0" quotePrefix="0" xfId="11">
      <alignment horizontal="center" vertical="center" textRotation="90" wrapText="1"/>
    </xf>
    <xf numFmtId="3" fontId="6" fillId="5" borderId="21" applyAlignment="1" pivotButton="0" quotePrefix="0" xfId="11">
      <alignment horizontal="center" vertical="center" textRotation="90" wrapText="1"/>
    </xf>
    <xf numFmtId="3" fontId="6" fillId="5" borderId="3" applyAlignment="1" pivotButton="0" quotePrefix="0" xfId="11">
      <alignment horizontal="center" vertical="center" textRotation="90" wrapText="1"/>
    </xf>
    <xf numFmtId="3" fontId="32" fillId="5" borderId="22" applyAlignment="1" pivotButton="0" quotePrefix="0" xfId="0">
      <alignment horizontal="center"/>
    </xf>
    <xf numFmtId="3" fontId="32" fillId="5" borderId="26" applyAlignment="1" pivotButton="0" quotePrefix="0" xfId="0">
      <alignment horizontal="center"/>
    </xf>
    <xf numFmtId="3" fontId="32" fillId="28" borderId="2" applyAlignment="1" pivotButton="0" quotePrefix="0" xfId="0">
      <alignment horizontal="center" vertical="center"/>
    </xf>
    <xf numFmtId="3" fontId="32" fillId="28" borderId="5" applyAlignment="1" pivotButton="0" quotePrefix="0" xfId="0">
      <alignment horizontal="center" vertical="center"/>
    </xf>
    <xf numFmtId="3" fontId="32" fillId="5" borderId="2" applyAlignment="1" pivotButton="0" quotePrefix="0" xfId="0">
      <alignment horizontal="center"/>
    </xf>
    <xf numFmtId="3" fontId="32" fillId="5" borderId="5" applyAlignment="1" pivotButton="0" quotePrefix="0" xfId="0">
      <alignment horizontal="center"/>
    </xf>
    <xf numFmtId="3" fontId="32" fillId="3" borderId="6" applyAlignment="1" pivotButton="0" quotePrefix="0" xfId="0">
      <alignment horizontal="center" vertical="center"/>
    </xf>
    <xf numFmtId="3" fontId="32" fillId="3" borderId="21" applyAlignment="1" pivotButton="0" quotePrefix="0" xfId="0">
      <alignment horizontal="center" vertical="center"/>
    </xf>
    <xf numFmtId="3" fontId="32" fillId="3" borderId="3" applyAlignment="1" pivotButton="0" quotePrefix="0" xfId="0">
      <alignment horizontal="center" vertical="center"/>
    </xf>
    <xf numFmtId="3" fontId="33" fillId="11" borderId="2" applyAlignment="1" pivotButton="0" quotePrefix="0" xfId="0">
      <alignment horizontal="left"/>
    </xf>
    <xf numFmtId="3" fontId="33" fillId="11" borderId="7" applyAlignment="1" pivotButton="0" quotePrefix="0" xfId="0">
      <alignment horizontal="left"/>
    </xf>
    <xf numFmtId="3" fontId="33" fillId="11" borderId="5" applyAlignment="1" pivotButton="0" quotePrefix="0" xfId="0">
      <alignment horizontal="left"/>
    </xf>
    <xf numFmtId="3" fontId="33" fillId="11" borderId="7" applyAlignment="1" applyProtection="1" pivotButton="0" quotePrefix="0" xfId="0">
      <alignment horizontal="left"/>
      <protection locked="0" hidden="0"/>
    </xf>
    <xf numFmtId="3" fontId="33" fillId="11" borderId="5" applyAlignment="1" applyProtection="1" pivotButton="0" quotePrefix="0" xfId="0">
      <alignment horizontal="left"/>
      <protection locked="0" hidden="0"/>
    </xf>
    <xf numFmtId="3" fontId="51" fillId="5" borderId="2" applyAlignment="1" pivotButton="0" quotePrefix="0" xfId="0">
      <alignment horizontal="center"/>
    </xf>
    <xf numFmtId="3" fontId="51" fillId="5" borderId="7" applyAlignment="1" pivotButton="0" quotePrefix="0" xfId="0">
      <alignment horizontal="center"/>
    </xf>
    <xf numFmtId="3" fontId="51" fillId="5" borderId="5" applyAlignment="1" pivotButton="0" quotePrefix="0" xfId="0">
      <alignment horizontal="center"/>
    </xf>
    <xf numFmtId="3" fontId="33" fillId="28" borderId="2" applyAlignment="1" applyProtection="1" pivotButton="0" quotePrefix="0" xfId="0">
      <alignment horizontal="center"/>
      <protection locked="0" hidden="0"/>
    </xf>
    <xf numFmtId="3" fontId="33" fillId="28" borderId="7" applyAlignment="1" applyProtection="1" pivotButton="0" quotePrefix="0" xfId="0">
      <alignment horizontal="center"/>
      <protection locked="0" hidden="0"/>
    </xf>
    <xf numFmtId="3" fontId="33" fillId="28" borderId="5" applyAlignment="1" applyProtection="1" pivotButton="0" quotePrefix="0" xfId="0">
      <alignment horizontal="center"/>
      <protection locked="0" hidden="0"/>
    </xf>
    <xf numFmtId="3" fontId="32" fillId="11" borderId="2" applyAlignment="1" pivotButton="0" quotePrefix="0" xfId="0">
      <alignment horizontal="left"/>
    </xf>
    <xf numFmtId="3" fontId="32" fillId="11" borderId="7" applyAlignment="1" pivotButton="0" quotePrefix="0" xfId="0">
      <alignment horizontal="left"/>
    </xf>
    <xf numFmtId="3" fontId="32" fillId="11" borderId="5" applyAlignment="1" pivotButton="0" quotePrefix="0" xfId="0">
      <alignment horizontal="left"/>
    </xf>
    <xf numFmtId="3" fontId="33" fillId="11" borderId="2" pivotButton="0" quotePrefix="0" xfId="0"/>
    <xf numFmtId="3" fontId="33" fillId="11" borderId="7" pivotButton="0" quotePrefix="0" xfId="0"/>
    <xf numFmtId="3" fontId="33" fillId="11" borderId="5" pivotButton="0" quotePrefix="0" xfId="0"/>
    <xf numFmtId="3" fontId="32" fillId="5" borderId="2" applyAlignment="1" pivotButton="0" quotePrefix="0" xfId="0">
      <alignment horizontal="left"/>
    </xf>
    <xf numFmtId="3" fontId="32" fillId="5" borderId="7" applyAlignment="1" pivotButton="0" quotePrefix="0" xfId="0">
      <alignment horizontal="left"/>
    </xf>
    <xf numFmtId="3" fontId="32" fillId="5" borderId="5" applyAlignment="1" pivotButton="0" quotePrefix="0" xfId="0">
      <alignment horizontal="left"/>
    </xf>
    <xf numFmtId="3" fontId="33" fillId="11" borderId="2" applyAlignment="1" pivotButton="0" quotePrefix="0" xfId="0">
      <alignment wrapText="1"/>
    </xf>
    <xf numFmtId="3" fontId="33" fillId="11" borderId="7" applyAlignment="1" pivotButton="0" quotePrefix="0" xfId="0">
      <alignment wrapText="1"/>
    </xf>
    <xf numFmtId="3" fontId="33" fillId="11" borderId="5" applyAlignment="1" pivotButton="0" quotePrefix="0" xfId="0">
      <alignment wrapText="1"/>
    </xf>
    <xf numFmtId="3" fontId="33" fillId="11" borderId="2" applyAlignment="1" pivotButton="0" quotePrefix="0" xfId="0">
      <alignment horizontal="left" wrapText="1"/>
    </xf>
    <xf numFmtId="3" fontId="33" fillId="11" borderId="7" applyAlignment="1" pivotButton="0" quotePrefix="0" xfId="0">
      <alignment horizontal="left" wrapText="1"/>
    </xf>
    <xf numFmtId="3" fontId="33" fillId="11" borderId="5" applyAlignment="1" pivotButton="0" quotePrefix="0" xfId="0">
      <alignment horizontal="left" wrapText="1"/>
    </xf>
    <xf numFmtId="3" fontId="51" fillId="5" borderId="2" applyAlignment="1" pivotButton="0" quotePrefix="0" xfId="0">
      <alignment horizontal="center" wrapText="1"/>
    </xf>
    <xf numFmtId="3" fontId="51" fillId="5" borderId="5" applyAlignment="1" pivotButton="0" quotePrefix="0" xfId="0">
      <alignment horizontal="center" wrapText="1"/>
    </xf>
    <xf numFmtId="3" fontId="33" fillId="3" borderId="6" applyAlignment="1" pivotButton="0" quotePrefix="0" xfId="0">
      <alignment horizontal="right"/>
    </xf>
    <xf numFmtId="3" fontId="33" fillId="3" borderId="21" applyAlignment="1" pivotButton="0" quotePrefix="0" xfId="0">
      <alignment horizontal="right"/>
    </xf>
    <xf numFmtId="3" fontId="33" fillId="3" borderId="3" applyAlignment="1" pivotButton="0" quotePrefix="0" xfId="0">
      <alignment horizontal="right"/>
    </xf>
    <xf numFmtId="0" fontId="82" fillId="12" borderId="1" applyAlignment="1" pivotButton="0" quotePrefix="0" xfId="0">
      <alignment horizontal="justify" vertical="justify" wrapText="1"/>
    </xf>
    <xf numFmtId="165" fontId="30" fillId="0" borderId="1" applyAlignment="1" pivotButton="0" quotePrefix="0" xfId="2">
      <alignment horizontal="center"/>
    </xf>
    <xf numFmtId="0" fontId="28" fillId="15" borderId="1" applyAlignment="1" pivotButton="0" quotePrefix="1" xfId="2">
      <alignment horizontal="justify" vertical="justify" wrapText="1"/>
    </xf>
    <xf numFmtId="3" fontId="32" fillId="5" borderId="1" applyAlignment="1" pivotButton="0" quotePrefix="0" xfId="0">
      <alignment horizontal="center"/>
    </xf>
    <xf numFmtId="3" fontId="32" fillId="0" borderId="2" applyAlignment="1" applyProtection="1" pivotButton="0" quotePrefix="0" xfId="0">
      <alignment horizontal="left"/>
      <protection locked="0" hidden="0"/>
    </xf>
    <xf numFmtId="3" fontId="32" fillId="0" borderId="7" applyAlignment="1" applyProtection="1" pivotButton="0" quotePrefix="0" xfId="0">
      <alignment horizontal="left"/>
      <protection locked="0" hidden="0"/>
    </xf>
    <xf numFmtId="3" fontId="32" fillId="0" borderId="5" applyAlignment="1" applyProtection="1" pivotButton="0" quotePrefix="0" xfId="0">
      <alignment horizontal="left"/>
      <protection locked="0" hidden="0"/>
    </xf>
    <xf numFmtId="3" fontId="32" fillId="3" borderId="6" applyAlignment="1" pivotButton="0" quotePrefix="0" xfId="11">
      <alignment horizontal="center" vertical="center"/>
    </xf>
    <xf numFmtId="3" fontId="32" fillId="3" borderId="21" applyAlignment="1" pivotButton="0" quotePrefix="0" xfId="11">
      <alignment horizontal="center" vertical="center"/>
    </xf>
    <xf numFmtId="3" fontId="32" fillId="3" borderId="3" applyAlignment="1" pivotButton="0" quotePrefix="0" xfId="11">
      <alignment horizontal="center" vertical="center"/>
    </xf>
    <xf numFmtId="3" fontId="32" fillId="3" borderId="1" applyAlignment="1" pivotButton="0" quotePrefix="0" xfId="0">
      <alignment horizontal="center" vertical="center"/>
    </xf>
    <xf numFmtId="3" fontId="32" fillId="6" borderId="4" applyAlignment="1" pivotButton="0" quotePrefix="0" xfId="0">
      <alignment horizontal="center"/>
    </xf>
    <xf numFmtId="3" fontId="32" fillId="6" borderId="23" applyAlignment="1" pivotButton="0" quotePrefix="0" xfId="0">
      <alignment horizontal="center"/>
    </xf>
    <xf numFmtId="3" fontId="32" fillId="6" borderId="16" applyAlignment="1" pivotButton="0" quotePrefix="0" xfId="0">
      <alignment horizontal="center"/>
    </xf>
    <xf numFmtId="3" fontId="33" fillId="28" borderId="1" applyAlignment="1" applyProtection="1" pivotButton="0" quotePrefix="0" xfId="0">
      <alignment horizontal="left"/>
      <protection locked="0" hidden="0"/>
    </xf>
    <xf numFmtId="3" fontId="33" fillId="3" borderId="1" applyAlignment="1" pivotButton="0" quotePrefix="0" xfId="0">
      <alignment horizontal="left"/>
    </xf>
    <xf numFmtId="3" fontId="33" fillId="11" borderId="22" applyAlignment="1" applyProtection="1" pivotButton="0" quotePrefix="0" xfId="0">
      <alignment horizontal="left"/>
      <protection locked="0" hidden="0"/>
    </xf>
    <xf numFmtId="3" fontId="33" fillId="11" borderId="24" applyAlignment="1" applyProtection="1" pivotButton="0" quotePrefix="0" xfId="0">
      <alignment horizontal="left"/>
      <protection locked="0" hidden="0"/>
    </xf>
    <xf numFmtId="3" fontId="6" fillId="5" borderId="6" applyAlignment="1" applyProtection="1" pivotButton="0" quotePrefix="0" xfId="11">
      <alignment horizontal="center" vertical="center" textRotation="90" wrapText="1"/>
      <protection locked="0" hidden="0"/>
    </xf>
    <xf numFmtId="3" fontId="6" fillId="5" borderId="21" applyAlignment="1" applyProtection="1" pivotButton="0" quotePrefix="0" xfId="11">
      <alignment horizontal="center" vertical="center" textRotation="90" wrapText="1"/>
      <protection locked="0" hidden="0"/>
    </xf>
    <xf numFmtId="3" fontId="32" fillId="3" borderId="1" applyAlignment="1" pivotButton="0" quotePrefix="0" xfId="11">
      <alignment horizontal="center" vertical="center" wrapText="1"/>
    </xf>
    <xf numFmtId="0" fontId="32" fillId="3" borderId="1" applyAlignment="1" pivotButton="0" quotePrefix="0" xfId="11">
      <alignment horizontal="center" vertical="center" wrapText="1"/>
    </xf>
    <xf numFmtId="0" fontId="32" fillId="0" borderId="1" applyAlignment="1" pivotButton="0" quotePrefix="0" xfId="0">
      <alignment horizontal="left"/>
    </xf>
    <xf numFmtId="0" fontId="42" fillId="13" borderId="1" applyAlignment="1" pivotButton="0" quotePrefix="0" xfId="0">
      <alignment horizontal="center"/>
    </xf>
    <xf numFmtId="0" fontId="42" fillId="13" borderId="1" applyAlignment="1" applyProtection="1" pivotButton="0" quotePrefix="0" xfId="0">
      <alignment horizontal="center"/>
      <protection locked="0" hidden="0"/>
    </xf>
    <xf numFmtId="0" fontId="42" fillId="13" borderId="1" applyAlignment="1" pivotButton="0" quotePrefix="0" xfId="0">
      <alignment horizontal="left"/>
    </xf>
    <xf numFmtId="3" fontId="32" fillId="0" borderId="1" applyAlignment="1" applyProtection="1" pivotButton="0" quotePrefix="0" xfId="0">
      <alignment horizontal="left"/>
      <protection locked="0" hidden="0"/>
    </xf>
    <xf numFmtId="3" fontId="32" fillId="3" borderId="6" applyAlignment="1" pivotButton="0" quotePrefix="0" xfId="0">
      <alignment horizontal="center" vertical="center" wrapText="1"/>
    </xf>
    <xf numFmtId="3" fontId="32" fillId="3" borderId="21" applyAlignment="1" pivotButton="0" quotePrefix="0" xfId="0">
      <alignment horizontal="center" vertical="center" wrapText="1"/>
    </xf>
    <xf numFmtId="3" fontId="32" fillId="3" borderId="3" applyAlignment="1" pivotButton="0" quotePrefix="0" xfId="0">
      <alignment horizontal="center" vertical="center" wrapText="1"/>
    </xf>
    <xf numFmtId="3" fontId="32" fillId="3" borderId="1" applyAlignment="1" pivotButton="0" quotePrefix="0" xfId="0">
      <alignment horizontal="center" vertical="center" wrapText="1"/>
    </xf>
    <xf numFmtId="3" fontId="32" fillId="5" borderId="7" applyAlignment="1" pivotButton="0" quotePrefix="0" xfId="0">
      <alignment horizontal="center"/>
    </xf>
    <xf numFmtId="3" fontId="33" fillId="3" borderId="6" applyAlignment="1" pivotButton="0" quotePrefix="0" xfId="0">
      <alignment horizontal="center"/>
    </xf>
    <xf numFmtId="3" fontId="33" fillId="3" borderId="3" applyAlignment="1" pivotButton="0" quotePrefix="0" xfId="0">
      <alignment horizontal="center"/>
    </xf>
    <xf numFmtId="3" fontId="33" fillId="3" borderId="21" applyAlignment="1" pivotButton="0" quotePrefix="0" xfId="0">
      <alignment horizontal="center"/>
    </xf>
    <xf numFmtId="3" fontId="33" fillId="30" borderId="2" applyAlignment="1" applyProtection="1" pivotButton="0" quotePrefix="0" xfId="0">
      <alignment horizontal="left"/>
      <protection locked="0" hidden="0"/>
    </xf>
    <xf numFmtId="3" fontId="33" fillId="30" borderId="5" applyAlignment="1" applyProtection="1" pivotButton="0" quotePrefix="0" xfId="0">
      <alignment horizontal="left"/>
      <protection locked="0" hidden="0"/>
    </xf>
    <xf numFmtId="3" fontId="6" fillId="5" borderId="26" applyAlignment="1" pivotButton="0" quotePrefix="0" xfId="11">
      <alignment horizontal="center" vertical="center" textRotation="90" wrapText="1"/>
    </xf>
    <xf numFmtId="3" fontId="6" fillId="5" borderId="0" applyAlignment="1" pivotButton="0" quotePrefix="0" xfId="11">
      <alignment horizontal="center" vertical="center" textRotation="90" wrapText="1"/>
    </xf>
    <xf numFmtId="3" fontId="33" fillId="11" borderId="2" applyAlignment="1" applyProtection="1" pivotButton="0" quotePrefix="0" xfId="0">
      <alignment horizontal="left" wrapText="1"/>
      <protection locked="0" hidden="0"/>
    </xf>
    <xf numFmtId="3" fontId="33" fillId="11" borderId="7" applyAlignment="1" applyProtection="1" pivotButton="0" quotePrefix="0" xfId="0">
      <alignment horizontal="left" wrapText="1"/>
      <protection locked="0" hidden="0"/>
    </xf>
    <xf numFmtId="3" fontId="33" fillId="11" borderId="5" applyAlignment="1" applyProtection="1" pivotButton="0" quotePrefix="0" xfId="0">
      <alignment horizontal="left" wrapText="1"/>
      <protection locked="0" hidden="0"/>
    </xf>
    <xf numFmtId="3" fontId="33" fillId="3" borderId="1" applyAlignment="1" pivotButton="0" quotePrefix="0" xfId="0">
      <alignment horizontal="center"/>
    </xf>
    <xf numFmtId="3" fontId="75" fillId="32" borderId="67" applyAlignment="1" pivotButton="0" quotePrefix="0" xfId="0">
      <alignment horizontal="center" vertical="center" wrapText="1"/>
    </xf>
    <xf numFmtId="3" fontId="75" fillId="10" borderId="67" applyAlignment="1" pivotButton="0" quotePrefix="0" xfId="0">
      <alignment horizontal="center" vertical="center" wrapText="1"/>
    </xf>
    <xf numFmtId="3" fontId="74" fillId="13" borderId="23" applyAlignment="1" pivotButton="0" quotePrefix="0" xfId="0">
      <alignment horizontal="center"/>
    </xf>
    <xf numFmtId="3" fontId="52" fillId="31" borderId="1" applyAlignment="1" pivotButton="0" quotePrefix="0" xfId="0">
      <alignment horizontal="center" vertical="center" textRotation="90" wrapText="1"/>
    </xf>
    <xf numFmtId="3" fontId="76" fillId="6" borderId="1" applyAlignment="1" pivotButton="0" quotePrefix="0" xfId="0">
      <alignment horizontal="center" vertical="center" textRotation="90" wrapText="1"/>
    </xf>
    <xf numFmtId="3" fontId="76" fillId="6" borderId="2" applyAlignment="1" pivotButton="0" quotePrefix="0" xfId="0">
      <alignment horizontal="center" vertical="center" textRotation="90" wrapText="1"/>
    </xf>
    <xf numFmtId="3" fontId="51" fillId="6" borderId="6" applyAlignment="1" pivotButton="0" quotePrefix="0" xfId="0">
      <alignment horizontal="center" vertical="center" wrapText="1"/>
    </xf>
    <xf numFmtId="3" fontId="31" fillId="0" borderId="67" applyAlignment="1" applyProtection="1" pivotButton="0" quotePrefix="0" xfId="0">
      <alignment vertical="center" wrapText="1"/>
      <protection locked="0" hidden="0"/>
    </xf>
    <xf numFmtId="3" fontId="31" fillId="0" borderId="67" applyAlignment="1" applyProtection="1" pivotButton="0" quotePrefix="0" xfId="0">
      <alignment horizontal="center" vertical="center" wrapText="1"/>
      <protection locked="0" hidden="0"/>
    </xf>
    <xf numFmtId="3" fontId="77" fillId="3" borderId="67" applyAlignment="1" pivotButton="0" quotePrefix="0" xfId="14">
      <alignment horizontal="right" vertical="center" wrapText="1"/>
    </xf>
    <xf numFmtId="3" fontId="31" fillId="0" borderId="3" applyAlignment="1" applyProtection="1" pivotButton="0" quotePrefix="0" xfId="0">
      <alignment vertical="center" wrapText="1"/>
      <protection locked="0" hidden="0"/>
    </xf>
    <xf numFmtId="3" fontId="31" fillId="0" borderId="1" applyAlignment="1" applyProtection="1" pivotButton="0" quotePrefix="0" xfId="0">
      <alignment vertical="center" wrapText="1"/>
      <protection locked="0" hidden="0"/>
    </xf>
    <xf numFmtId="0" fontId="77" fillId="22" borderId="1" applyAlignment="1" pivotButton="0" quotePrefix="0" xfId="0">
      <alignment horizontal="left" vertical="center" wrapText="1"/>
    </xf>
    <xf numFmtId="3" fontId="31" fillId="0" borderId="4" applyAlignment="1" applyProtection="1" pivotButton="0" quotePrefix="0" xfId="0">
      <alignment horizontal="right" vertical="center" wrapText="1"/>
      <protection locked="0" hidden="0"/>
    </xf>
    <xf numFmtId="3" fontId="31" fillId="0" borderId="2" applyAlignment="1" applyProtection="1" pivotButton="0" quotePrefix="0" xfId="0">
      <alignment horizontal="right" vertical="center" wrapText="1"/>
      <protection locked="0" hidden="0"/>
    </xf>
    <xf numFmtId="3" fontId="77" fillId="3" borderId="21" applyAlignment="1" pivotButton="0" quotePrefix="0" xfId="14">
      <alignment horizontal="right" vertical="center" wrapText="1"/>
    </xf>
    <xf numFmtId="3" fontId="77" fillId="3" borderId="3" applyAlignment="1" pivotButton="0" quotePrefix="0" xfId="14">
      <alignment horizontal="right" vertical="center" wrapText="1"/>
    </xf>
    <xf numFmtId="3" fontId="77" fillId="3" borderId="1" applyAlignment="1" pivotButton="0" quotePrefix="0" xfId="14">
      <alignment horizontal="right" vertical="center" wrapText="1"/>
    </xf>
    <xf numFmtId="3" fontId="76" fillId="17" borderId="1" applyAlignment="1" pivotButton="0" quotePrefix="0" xfId="0">
      <alignment horizontal="center" vertical="center" textRotation="90" wrapText="1"/>
    </xf>
    <xf numFmtId="3" fontId="31" fillId="0" borderId="6" applyAlignment="1" applyProtection="1" pivotButton="0" quotePrefix="0" xfId="0">
      <alignment horizontal="center" vertical="center" wrapText="1"/>
      <protection locked="0" hidden="0"/>
    </xf>
    <xf numFmtId="3" fontId="31" fillId="0" borderId="21" applyAlignment="1" applyProtection="1" pivotButton="0" quotePrefix="0" xfId="0">
      <alignment horizontal="center" vertical="center" wrapText="1"/>
      <protection locked="0" hidden="0"/>
    </xf>
    <xf numFmtId="3" fontId="31" fillId="0" borderId="22" applyAlignment="1" applyProtection="1" pivotButton="0" quotePrefix="0" xfId="0">
      <alignment horizontal="center" vertical="center" wrapText="1"/>
      <protection locked="0" hidden="0"/>
    </xf>
    <xf numFmtId="3" fontId="31" fillId="0" borderId="17" applyAlignment="1" applyProtection="1" pivotButton="0" quotePrefix="0" xfId="0">
      <alignment horizontal="center" vertical="center" wrapText="1"/>
      <protection locked="0" hidden="0"/>
    </xf>
    <xf numFmtId="3" fontId="31" fillId="3" borderId="1" applyAlignment="1" pivotButton="0" quotePrefix="0" xfId="0">
      <alignment horizontal="center"/>
    </xf>
    <xf numFmtId="3" fontId="76" fillId="17" borderId="6" applyAlignment="1" pivotButton="0" quotePrefix="0" xfId="0">
      <alignment horizontal="center" vertical="center" textRotation="90" wrapText="1"/>
    </xf>
    <xf numFmtId="0" fontId="19" fillId="5" borderId="25" applyAlignment="1" pivotButton="0" quotePrefix="0" xfId="11">
      <alignment horizontal="center" vertical="center" textRotation="90" wrapText="1"/>
    </xf>
    <xf numFmtId="3" fontId="79" fillId="3" borderId="64" applyAlignment="1" pivotButton="0" quotePrefix="0" xfId="0">
      <alignment horizontal="center" vertical="center" wrapText="1"/>
    </xf>
    <xf numFmtId="3" fontId="79" fillId="3" borderId="66" applyAlignment="1" pivotButton="0" quotePrefix="0" xfId="0">
      <alignment horizontal="center" vertical="center" wrapText="1"/>
    </xf>
    <xf numFmtId="3" fontId="79" fillId="3" borderId="65" applyAlignment="1" pivotButton="0" quotePrefix="0" xfId="0">
      <alignment horizontal="center" vertical="center" wrapText="1"/>
    </xf>
    <xf numFmtId="0" fontId="6" fillId="5" borderId="0" applyAlignment="1" pivotButton="0" quotePrefix="0" xfId="11">
      <alignment horizontal="center" vertical="center" textRotation="90" wrapText="1"/>
    </xf>
    <xf numFmtId="0" fontId="6" fillId="5" borderId="25" applyAlignment="1" pivotButton="0" quotePrefix="0" xfId="11">
      <alignment horizontal="center" vertical="center" textRotation="90" wrapText="1"/>
    </xf>
    <xf numFmtId="3" fontId="17" fillId="3" borderId="2" applyAlignment="1" pivotButton="0" quotePrefix="0" xfId="0">
      <alignment horizontal="center" vertical="center" wrapText="1"/>
    </xf>
    <xf numFmtId="3" fontId="17" fillId="3" borderId="7" applyAlignment="1" pivotButton="0" quotePrefix="0" xfId="0">
      <alignment horizontal="center" vertical="center" wrapText="1"/>
    </xf>
    <xf numFmtId="3" fontId="17" fillId="3" borderId="5" applyAlignment="1" pivotButton="0" quotePrefix="0" xfId="0">
      <alignment horizontal="center" vertical="center" wrapText="1"/>
    </xf>
    <xf numFmtId="3" fontId="11" fillId="3" borderId="2" applyAlignment="1" pivotButton="0" quotePrefix="0" xfId="0">
      <alignment horizontal="center" vertical="center" wrapText="1"/>
    </xf>
    <xf numFmtId="3" fontId="11" fillId="3" borderId="7" applyAlignment="1" pivotButton="0" quotePrefix="0" xfId="0">
      <alignment horizontal="center" vertical="center" wrapText="1"/>
    </xf>
    <xf numFmtId="3" fontId="11" fillId="3" borderId="5" applyAlignment="1" pivotButton="0" quotePrefix="0" xfId="0">
      <alignment horizontal="center" vertical="center" wrapText="1"/>
    </xf>
    <xf numFmtId="0" fontId="16" fillId="5" borderId="4" applyAlignment="1" pivotButton="0" quotePrefix="0" xfId="0">
      <alignment horizontal="center" vertical="center" wrapText="1"/>
    </xf>
    <xf numFmtId="0" fontId="16" fillId="5" borderId="23" applyAlignment="1" pivotButton="0" quotePrefix="0" xfId="0">
      <alignment horizontal="center" vertical="center" wrapText="1"/>
    </xf>
    <xf numFmtId="0" fontId="16" fillId="5" borderId="16" applyAlignment="1" pivotButton="0" quotePrefix="0" xfId="0">
      <alignment horizontal="center" vertical="center" wrapText="1"/>
    </xf>
    <xf numFmtId="3" fontId="31" fillId="0" borderId="1" applyAlignment="1" pivotButton="0" quotePrefix="0" xfId="0">
      <alignment horizontal="left"/>
    </xf>
    <xf numFmtId="3" fontId="51" fillId="0" borderId="1" applyAlignment="1" pivotButton="0" quotePrefix="0" xfId="0">
      <alignment horizontal="left" vertical="center" wrapText="1"/>
    </xf>
    <xf numFmtId="3" fontId="51" fillId="0" borderId="1" applyAlignment="1" pivotButton="0" quotePrefix="0" xfId="0">
      <alignment horizontal="right" vertical="center" wrapText="1"/>
    </xf>
    <xf numFmtId="3" fontId="51" fillId="0" borderId="1" applyAlignment="1" pivotButton="0" quotePrefix="0" xfId="0">
      <alignment horizontal="left"/>
    </xf>
    <xf numFmtId="0" fontId="51" fillId="35" borderId="68" applyAlignment="1" applyProtection="1" pivotButton="0" quotePrefix="0" xfId="0">
      <alignment horizontal="left" vertical="center" wrapText="1"/>
      <protection locked="0" hidden="0"/>
    </xf>
    <xf numFmtId="0" fontId="51" fillId="35" borderId="69" applyAlignment="1" applyProtection="1" pivotButton="0" quotePrefix="0" xfId="0">
      <alignment horizontal="left" vertical="center" wrapText="1"/>
      <protection locked="0" hidden="0"/>
    </xf>
    <xf numFmtId="0" fontId="51" fillId="35" borderId="70" applyAlignment="1" applyProtection="1" pivotButton="0" quotePrefix="0" xfId="0">
      <alignment horizontal="left" vertical="center" wrapText="1"/>
      <protection locked="0" hidden="0"/>
    </xf>
    <xf numFmtId="3" fontId="32" fillId="3" borderId="2" applyAlignment="1" pivotButton="0" quotePrefix="0" xfId="0">
      <alignment horizontal="left"/>
    </xf>
    <xf numFmtId="3" fontId="32" fillId="3" borderId="5" applyAlignment="1" pivotButton="0" quotePrefix="0" xfId="0">
      <alignment horizontal="left"/>
    </xf>
    <xf numFmtId="3" fontId="32" fillId="6" borderId="1" applyAlignment="1" pivotButton="0" quotePrefix="0" xfId="0">
      <alignment horizontal="center"/>
    </xf>
    <xf numFmtId="3" fontId="32" fillId="5" borderId="2" applyAlignment="1" applyProtection="1" pivotButton="0" quotePrefix="0" xfId="0">
      <alignment horizontal="left"/>
      <protection locked="0" hidden="0"/>
    </xf>
    <xf numFmtId="3" fontId="32" fillId="5" borderId="7" applyAlignment="1" applyProtection="1" pivotButton="0" quotePrefix="0" xfId="0">
      <alignment horizontal="left"/>
      <protection locked="0" hidden="0"/>
    </xf>
    <xf numFmtId="3" fontId="32" fillId="5" borderId="5" applyAlignment="1" applyProtection="1" pivotButton="0" quotePrefix="0" xfId="0">
      <alignment horizontal="left"/>
      <protection locked="0" hidden="0"/>
    </xf>
    <xf numFmtId="0" fontId="48" fillId="13" borderId="10" applyAlignment="1" pivotButton="0" quotePrefix="0" xfId="11">
      <alignment horizontal="center" vertical="center" wrapText="1"/>
    </xf>
    <xf numFmtId="0" fontId="48" fillId="13" borderId="8" applyAlignment="1" pivotButton="0" quotePrefix="0" xfId="11">
      <alignment horizontal="center" vertical="center" wrapText="1"/>
    </xf>
    <xf numFmtId="0" fontId="48" fillId="13" borderId="13" applyAlignment="1" pivotButton="0" quotePrefix="0" xfId="11">
      <alignment horizontal="center" vertical="center" wrapText="1"/>
    </xf>
    <xf numFmtId="0" fontId="48" fillId="13" borderId="11" applyAlignment="1" pivotButton="0" quotePrefix="0" xfId="11">
      <alignment horizontal="center" vertical="center" wrapText="1"/>
    </xf>
    <xf numFmtId="0" fontId="48" fillId="13" borderId="1" applyAlignment="1" pivotButton="0" quotePrefix="0" xfId="11">
      <alignment horizontal="center" vertical="center" wrapText="1"/>
    </xf>
    <xf numFmtId="0" fontId="48" fillId="13" borderId="14" applyAlignment="1" pivotButton="0" quotePrefix="0" xfId="11">
      <alignment horizontal="center" vertical="center" wrapText="1"/>
    </xf>
    <xf numFmtId="0" fontId="25" fillId="0" borderId="27" applyAlignment="1" pivotButton="0" quotePrefix="0" xfId="0">
      <alignment horizontal="left" vertical="center" wrapText="1"/>
    </xf>
    <xf numFmtId="0" fontId="25" fillId="0" borderId="7" applyAlignment="1" pivotButton="0" quotePrefix="0" xfId="0">
      <alignment horizontal="left" vertical="center" wrapText="1"/>
    </xf>
    <xf numFmtId="0" fontId="25" fillId="0" borderId="5" applyAlignment="1" pivotButton="0" quotePrefix="0" xfId="0">
      <alignment horizontal="left" vertical="center" wrapText="1"/>
    </xf>
    <xf numFmtId="0" fontId="25" fillId="0" borderId="27" applyAlignment="1" pivotButton="0" quotePrefix="0" xfId="0">
      <alignment horizontal="left" vertical="top" wrapText="1"/>
    </xf>
    <xf numFmtId="0" fontId="25" fillId="0" borderId="7" applyAlignment="1" pivotButton="0" quotePrefix="0" xfId="0">
      <alignment horizontal="left" vertical="top" wrapText="1"/>
    </xf>
    <xf numFmtId="0" fontId="25" fillId="0" borderId="5" applyAlignment="1" pivotButton="0" quotePrefix="0" xfId="0">
      <alignment horizontal="left" vertical="top" wrapText="1"/>
    </xf>
    <xf numFmtId="0" fontId="47" fillId="0" borderId="28" applyAlignment="1" pivotButton="0" quotePrefix="0" xfId="0">
      <alignment horizontal="left" vertical="center" wrapText="1"/>
    </xf>
    <xf numFmtId="0" fontId="47" fillId="0" borderId="3" applyAlignment="1" pivotButton="0" quotePrefix="0" xfId="0">
      <alignment horizontal="left" vertical="center" wrapText="1"/>
    </xf>
    <xf numFmtId="0" fontId="26" fillId="0" borderId="27" applyAlignment="1" pivotButton="0" quotePrefix="0" xfId="0">
      <alignment horizontal="left" vertical="center" wrapText="1"/>
    </xf>
    <xf numFmtId="0" fontId="26" fillId="0" borderId="7" applyAlignment="1" pivotButton="0" quotePrefix="0" xfId="0">
      <alignment horizontal="left" vertical="center" wrapText="1"/>
    </xf>
    <xf numFmtId="0" fontId="26" fillId="0" borderId="5" applyAlignment="1" pivotButton="0" quotePrefix="0" xfId="0">
      <alignment horizontal="left" vertical="center" wrapText="1"/>
    </xf>
    <xf numFmtId="0" fontId="46" fillId="0" borderId="11" applyAlignment="1" pivotButton="0" quotePrefix="0" xfId="0">
      <alignment horizontal="left" vertical="center" wrapText="1"/>
    </xf>
    <xf numFmtId="0" fontId="46" fillId="0" borderId="1" applyAlignment="1" pivotButton="0" quotePrefix="0" xfId="0">
      <alignment horizontal="left" vertical="center" wrapText="1"/>
    </xf>
    <xf numFmtId="0" fontId="47" fillId="0" borderId="27" applyAlignment="1" pivotButton="0" quotePrefix="0" xfId="0">
      <alignment horizontal="left" vertical="center" wrapText="1"/>
    </xf>
    <xf numFmtId="0" fontId="47" fillId="0" borderId="7" applyAlignment="1" pivotButton="0" quotePrefix="0" xfId="0">
      <alignment horizontal="left" vertical="center" wrapText="1"/>
    </xf>
    <xf numFmtId="0" fontId="47" fillId="0" borderId="5" applyAlignment="1" pivotButton="0" quotePrefix="0" xfId="0">
      <alignment horizontal="left" vertical="center" wrapText="1"/>
    </xf>
    <xf numFmtId="0" fontId="25" fillId="0" borderId="29" applyAlignment="1" pivotButton="0" quotePrefix="0" xfId="0">
      <alignment horizontal="left" vertical="center" wrapText="1"/>
    </xf>
    <xf numFmtId="0" fontId="32" fillId="3" borderId="1" applyAlignment="1" pivotButton="0" quotePrefix="0" xfId="0">
      <alignment horizontal="center" vertical="center" wrapText="1"/>
    </xf>
    <xf numFmtId="3" fontId="32" fillId="2" borderId="1" applyAlignment="1" pivotButton="0" quotePrefix="0" xfId="0">
      <alignment horizontal="center"/>
    </xf>
    <xf numFmtId="3" fontId="32" fillId="5" borderId="1" applyAlignment="1" pivotButton="0" quotePrefix="0" xfId="0">
      <alignment horizontal="left" vertical="center" wrapText="1"/>
    </xf>
    <xf numFmtId="3" fontId="33" fillId="28" borderId="2" applyProtection="1" pivotButton="0" quotePrefix="0" xfId="0">
      <protection locked="0" hidden="0"/>
    </xf>
    <xf numFmtId="3" fontId="33" fillId="28" borderId="5" applyProtection="1" pivotButton="0" quotePrefix="0" xfId="0">
      <protection locked="0" hidden="0"/>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3" fontId="3" fillId="0" borderId="57" applyAlignment="1" pivotButton="0" quotePrefix="0" xfId="0">
      <alignment horizontal="left" vertical="center" wrapText="1"/>
    </xf>
    <xf numFmtId="3" fontId="3" fillId="0" borderId="7" applyAlignment="1" pivotButton="0" quotePrefix="0" xfId="0">
      <alignment horizontal="left" vertical="center" wrapText="1"/>
    </xf>
    <xf numFmtId="3" fontId="3" fillId="0" borderId="5" applyAlignment="1" pivotButton="0" quotePrefix="0" xfId="0">
      <alignment horizontal="left" vertical="center" wrapText="1"/>
    </xf>
    <xf numFmtId="3" fontId="3" fillId="0" borderId="58" applyAlignment="1" pivotButton="0" quotePrefix="0" xfId="0">
      <alignment horizontal="left" vertical="center" wrapText="1"/>
    </xf>
    <xf numFmtId="3" fontId="3" fillId="0" borderId="59" applyAlignment="1" pivotButton="0" quotePrefix="0" xfId="0">
      <alignment horizontal="left" vertical="center" wrapText="1"/>
    </xf>
    <xf numFmtId="3" fontId="3" fillId="0" borderId="60" applyAlignment="1" pivotButton="0" quotePrefix="0" xfId="0">
      <alignment horizontal="left" vertical="center" wrapText="1"/>
    </xf>
    <xf numFmtId="3" fontId="3" fillId="0" borderId="54" applyAlignment="1" pivotButton="0" quotePrefix="0" xfId="0">
      <alignment horizontal="left" vertical="center" wrapText="1"/>
    </xf>
    <xf numFmtId="3" fontId="3" fillId="0" borderId="55" applyAlignment="1" pivotButton="0" quotePrefix="0" xfId="0">
      <alignment horizontal="left" vertical="center" wrapText="1"/>
    </xf>
    <xf numFmtId="3" fontId="3" fillId="0" borderId="56" applyAlignment="1" pivotButton="0" quotePrefix="0" xfId="0">
      <alignment horizontal="left" vertical="center" wrapText="1"/>
    </xf>
    <xf numFmtId="3" fontId="11" fillId="0" borderId="1" applyAlignment="1" pivotButton="0" quotePrefix="0" xfId="0">
      <alignment horizontal="center" vertical="center" wrapText="1"/>
    </xf>
    <xf numFmtId="3" fontId="3" fillId="0" borderId="1" applyAlignment="1" pivotButton="0" quotePrefix="0" xfId="1">
      <alignment horizontal="center" vertical="center" wrapText="1"/>
    </xf>
    <xf numFmtId="3" fontId="3" fillId="0" borderId="47" applyAlignment="1" pivotButton="0" quotePrefix="0" xfId="0">
      <alignment horizontal="left" vertical="center" wrapText="1"/>
    </xf>
    <xf numFmtId="3" fontId="3" fillId="0" borderId="48" applyAlignment="1" pivotButton="0" quotePrefix="0" xfId="0">
      <alignment horizontal="left" vertical="center" wrapText="1"/>
    </xf>
    <xf numFmtId="3" fontId="3" fillId="0" borderId="49" applyAlignment="1" pivotButton="0" quotePrefix="0" xfId="0">
      <alignment horizontal="left" vertical="center" wrapText="1"/>
    </xf>
    <xf numFmtId="3" fontId="3" fillId="0" borderId="50" applyAlignment="1" pivotButton="0" quotePrefix="0" xfId="0">
      <alignment horizontal="left" vertical="center" wrapText="1"/>
    </xf>
    <xf numFmtId="3" fontId="3" fillId="0" borderId="51" applyAlignment="1" pivotButton="0" quotePrefix="0" xfId="0">
      <alignment horizontal="left" vertical="center" wrapText="1"/>
    </xf>
    <xf numFmtId="3" fontId="3" fillId="0" borderId="52" applyAlignment="1" pivotButton="0" quotePrefix="0" xfId="0">
      <alignment horizontal="left" vertical="center" wrapText="1"/>
    </xf>
    <xf numFmtId="3" fontId="3" fillId="0" borderId="53" applyAlignment="1" pivotButton="0" quotePrefix="0" xfId="0">
      <alignment horizontal="left" vertical="center" wrapText="1"/>
    </xf>
    <xf numFmtId="3" fontId="3" fillId="0" borderId="43" applyAlignment="1" pivotButton="0" quotePrefix="0" xfId="0">
      <alignment horizontal="left" vertical="center" wrapText="1"/>
    </xf>
    <xf numFmtId="3" fontId="3" fillId="0" borderId="44" applyAlignment="1" pivotButton="0" quotePrefix="0" xfId="0">
      <alignment horizontal="left"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3" fontId="11" fillId="4" borderId="5" applyAlignment="1" pivotButton="0" quotePrefix="0" xfId="0">
      <alignment horizontal="center" vertical="center" wrapText="1"/>
    </xf>
    <xf numFmtId="3" fontId="11" fillId="4" borderId="1" applyAlignment="1" pivotButton="0" quotePrefix="0" xfId="0">
      <alignment horizontal="center" vertical="center" wrapText="1"/>
    </xf>
    <xf numFmtId="3" fontId="3" fillId="4" borderId="1" applyAlignment="1" pivotButton="0" quotePrefix="0" xfId="1">
      <alignment horizontal="center" vertical="center" wrapText="1"/>
    </xf>
    <xf numFmtId="3" fontId="3" fillId="0" borderId="41" applyAlignment="1" pivotButton="0" quotePrefix="0" xfId="0">
      <alignment horizontal="left" vertical="center" wrapText="1"/>
    </xf>
    <xf numFmtId="3" fontId="3" fillId="0" borderId="42" applyAlignment="1" pivotButton="0" quotePrefix="0" xfId="0">
      <alignment horizontal="left" vertical="center" wrapText="1"/>
    </xf>
    <xf numFmtId="3" fontId="3" fillId="0" borderId="1" applyAlignment="1" pivotButton="0" quotePrefix="0" xfId="0">
      <alignment horizontal="left" vertical="center" wrapText="1"/>
    </xf>
    <xf numFmtId="3" fontId="3" fillId="0" borderId="45" applyAlignment="1" pivotButton="0" quotePrefix="0" xfId="0">
      <alignment horizontal="left" vertical="center" wrapText="1"/>
    </xf>
    <xf numFmtId="3" fontId="3" fillId="0" borderId="46" applyAlignment="1" pivotButton="0" quotePrefix="0" xfId="0">
      <alignment horizontal="left" vertical="center" wrapText="1"/>
    </xf>
    <xf numFmtId="3" fontId="43" fillId="13" borderId="0" applyAlignment="1" pivotButton="0" quotePrefix="0" xfId="0">
      <alignment horizontal="center" vertical="center" wrapText="1"/>
    </xf>
    <xf numFmtId="3" fontId="3" fillId="0" borderId="61" applyAlignment="1" pivotButton="0" quotePrefix="0" xfId="0">
      <alignment horizontal="left" vertical="center" wrapText="1"/>
    </xf>
    <xf numFmtId="3" fontId="3" fillId="0" borderId="62" applyAlignment="1" pivotButton="0" quotePrefix="0" xfId="0">
      <alignment horizontal="left" vertical="center" wrapText="1"/>
    </xf>
    <xf numFmtId="0" fontId="28" fillId="16" borderId="8" applyAlignment="1" pivotButton="0" quotePrefix="0" xfId="0">
      <alignment horizontal="center" wrapText="1"/>
    </xf>
    <xf numFmtId="0" fontId="28" fillId="16" borderId="1" applyAlignment="1" pivotButton="0" quotePrefix="0" xfId="0">
      <alignment horizontal="center" wrapText="1"/>
    </xf>
    <xf numFmtId="0" fontId="28" fillId="16" borderId="13" applyAlignment="1" pivotButton="0" quotePrefix="0" xfId="0">
      <alignment horizontal="center" wrapText="1"/>
    </xf>
    <xf numFmtId="0" fontId="28" fillId="16" borderId="14" applyAlignment="1" pivotButton="0" quotePrefix="0" xfId="0">
      <alignment horizontal="center" wrapText="1"/>
    </xf>
    <xf numFmtId="3" fontId="32" fillId="17" borderId="2" applyAlignment="1" pivotButton="0" quotePrefix="0" xfId="0">
      <alignment horizontal="left" wrapText="1"/>
    </xf>
    <xf numFmtId="3" fontId="32" fillId="17" borderId="7" applyAlignment="1" pivotButton="0" quotePrefix="0" xfId="0">
      <alignment horizontal="left"/>
    </xf>
    <xf numFmtId="3" fontId="32" fillId="17" borderId="5" applyAlignment="1" pivotButton="0" quotePrefix="0" xfId="0">
      <alignment horizontal="left"/>
    </xf>
    <xf numFmtId="3" fontId="32" fillId="5" borderId="23" applyAlignment="1" pivotButton="0" quotePrefix="0" xfId="0">
      <alignment horizontal="center"/>
    </xf>
    <xf numFmtId="3" fontId="32" fillId="5" borderId="16" applyAlignment="1" pivotButton="0" quotePrefix="0" xfId="0">
      <alignment horizontal="center"/>
    </xf>
    <xf numFmtId="3" fontId="32" fillId="3" borderId="24" applyAlignment="1" pivotButton="0" quotePrefix="0" xfId="11">
      <alignment horizontal="center" vertical="center" wrapText="1"/>
    </xf>
    <xf numFmtId="3" fontId="32" fillId="3" borderId="25" applyAlignment="1" pivotButton="0" quotePrefix="0" xfId="11">
      <alignment horizontal="center" vertical="center" wrapText="1"/>
    </xf>
    <xf numFmtId="3" fontId="32" fillId="3" borderId="16" applyAlignment="1" pivotButton="0" quotePrefix="0" xfId="11">
      <alignment horizontal="center" vertical="center" wrapText="1"/>
    </xf>
    <xf numFmtId="3" fontId="32" fillId="17" borderId="2" applyAlignment="1" pivotButton="0" quotePrefix="0" xfId="0">
      <alignment horizontal="left"/>
    </xf>
    <xf numFmtId="3" fontId="32" fillId="17" borderId="1" pivotButton="0" quotePrefix="0" xfId="0"/>
    <xf numFmtId="0" fontId="16" fillId="5" borderId="1" applyAlignment="1" pivotButton="0" quotePrefix="0" xfId="0">
      <alignment horizontal="center" vertical="center" wrapText="1"/>
    </xf>
    <xf numFmtId="0" fontId="6" fillId="0" borderId="3" applyAlignment="1" pivotButton="0" quotePrefix="0" xfId="11">
      <alignment horizontal="center" vertical="center" textRotation="90" wrapText="1"/>
    </xf>
    <xf numFmtId="0" fontId="6" fillId="0" borderId="1" applyAlignment="1" pivotButton="0" quotePrefix="0" xfId="11">
      <alignment horizontal="center" vertical="center" textRotation="90" wrapText="1"/>
    </xf>
    <xf numFmtId="0" fontId="89" fillId="39" borderId="0" applyAlignment="1" pivotButton="0" quotePrefix="0" xfId="0">
      <alignment vertical="center"/>
    </xf>
    <xf numFmtId="0" fontId="90" fillId="39" borderId="0" pivotButton="0" quotePrefix="0" xfId="0"/>
    <xf numFmtId="0" fontId="91" fillId="40" borderId="0" pivotButton="0" quotePrefix="0" xfId="0"/>
    <xf numFmtId="0" fontId="0" fillId="40" borderId="0" pivotButton="0" quotePrefix="0" xfId="0"/>
    <xf numFmtId="0" fontId="91" fillId="0" borderId="0" pivotButton="0" quotePrefix="0" xfId="0"/>
    <xf numFmtId="0" fontId="92" fillId="0" borderId="0" applyAlignment="1" pivotButton="0" quotePrefix="0" xfId="0">
      <alignment vertical="top" wrapText="1"/>
    </xf>
    <xf numFmtId="174" fontId="31" fillId="23" borderId="1" pivotButton="0" quotePrefix="0" xfId="0"/>
    <xf numFmtId="174" fontId="33" fillId="23" borderId="0" pivotButton="0" quotePrefix="0" xfId="0"/>
    <xf numFmtId="174" fontId="31" fillId="26" borderId="1" pivotButton="0" quotePrefix="0" xfId="0"/>
    <xf numFmtId="165" fontId="0" fillId="7" borderId="1" applyAlignment="1" pivotButton="0" quotePrefix="0" xfId="2">
      <alignment horizontal="right"/>
    </xf>
    <xf numFmtId="175" fontId="0" fillId="7" borderId="1" applyAlignment="1" pivotButton="0" quotePrefix="0" xfId="0">
      <alignment horizontal="right"/>
    </xf>
    <xf numFmtId="0" fontId="0" fillId="0" borderId="26" pivotButton="0" quotePrefix="0" xfId="0"/>
    <xf numFmtId="0" fontId="0" fillId="0" borderId="24" pivotButton="0" quotePrefix="0" xfId="0"/>
    <xf numFmtId="0" fontId="41" fillId="17" borderId="2" applyAlignment="1" pivotButton="0" quotePrefix="0" xfId="0">
      <alignment horizontal="center"/>
    </xf>
    <xf numFmtId="0" fontId="0" fillId="0" borderId="17" pivotButton="0" quotePrefix="0" xfId="0"/>
    <xf numFmtId="0" fontId="0" fillId="0" borderId="25" pivotButton="0" quotePrefix="0" xfId="0"/>
    <xf numFmtId="0" fontId="0" fillId="0" borderId="4" pivotButton="0" quotePrefix="0" xfId="0"/>
    <xf numFmtId="0" fontId="0" fillId="0" borderId="23" pivotButton="0" quotePrefix="0" xfId="0"/>
    <xf numFmtId="0" fontId="0" fillId="0" borderId="16" pivotButton="0" quotePrefix="0" xfId="0"/>
    <xf numFmtId="0" fontId="30" fillId="10" borderId="1" applyAlignment="1" pivotButton="0" quotePrefix="0" xfId="0">
      <alignment horizontal="left"/>
    </xf>
    <xf numFmtId="0" fontId="0" fillId="0" borderId="5" pivotButton="0" quotePrefix="0" xfId="0"/>
    <xf numFmtId="0" fontId="40" fillId="0" borderId="6" applyAlignment="1" pivotButton="0" quotePrefix="0" xfId="0">
      <alignment horizontal="left"/>
    </xf>
    <xf numFmtId="0" fontId="33" fillId="0" borderId="3" applyAlignment="1" pivotButton="0" quotePrefix="0" xfId="0">
      <alignment horizontal="right" vertical="center" wrapText="1"/>
    </xf>
    <xf numFmtId="0" fontId="0" fillId="0" borderId="3" pivotButton="0" quotePrefix="0" xfId="0"/>
    <xf numFmtId="0" fontId="0" fillId="0" borderId="7" pivotButton="0" quotePrefix="0" xfId="0"/>
    <xf numFmtId="164" fontId="40" fillId="32" borderId="5" applyAlignment="1" pivotButton="0" quotePrefix="0" xfId="2">
      <alignment vertical="center"/>
    </xf>
    <xf numFmtId="0" fontId="41" fillId="23" borderId="1" applyAlignment="1" pivotButton="0" quotePrefix="0" xfId="0">
      <alignment horizontal="left" vertical="center" wrapText="1"/>
    </xf>
    <xf numFmtId="165" fontId="0" fillId="0" borderId="21" applyAlignment="1" pivotButton="0" quotePrefix="0" xfId="2">
      <alignment horizontal="center"/>
    </xf>
    <xf numFmtId="3" fontId="40" fillId="17" borderId="1" applyAlignment="1" pivotButton="0" quotePrefix="0" xfId="0">
      <alignment horizontal="right" vertical="center"/>
    </xf>
    <xf numFmtId="165" fontId="0" fillId="0" borderId="0" pivotButton="0" quotePrefix="0" xfId="2"/>
    <xf numFmtId="3" fontId="40" fillId="0" borderId="1" applyAlignment="1" pivotButton="0" quotePrefix="0" xfId="0">
      <alignment horizontal="right" vertical="center"/>
    </xf>
    <xf numFmtId="3" fontId="41" fillId="17" borderId="1" applyAlignment="1" pivotButton="0" quotePrefix="0" xfId="2">
      <alignment horizontal="right"/>
    </xf>
    <xf numFmtId="164" fontId="41" fillId="0" borderId="1" applyAlignment="1" pivotButton="0" quotePrefix="0" xfId="0">
      <alignment horizontal="right" vertical="center" wrapText="1"/>
    </xf>
    <xf numFmtId="0" fontId="41" fillId="0" borderId="1" applyAlignment="1" pivotButton="0" quotePrefix="0" xfId="0">
      <alignment horizontal="left" vertical="top" wrapText="1"/>
    </xf>
    <xf numFmtId="0" fontId="41" fillId="17" borderId="6" applyAlignment="1" pivotButton="0" quotePrefix="0" xfId="0">
      <alignment horizontal="left" vertical="center" wrapText="1"/>
    </xf>
    <xf numFmtId="0" fontId="41" fillId="0" borderId="6" applyAlignment="1" pivotButton="0" quotePrefix="0" xfId="0">
      <alignment horizontal="left" vertical="center" wrapText="1"/>
    </xf>
    <xf numFmtId="0" fontId="41" fillId="0" borderId="1" applyAlignment="1" pivotButton="0" quotePrefix="0" xfId="0">
      <alignment horizontal="center" vertical="center" textRotation="90" wrapText="1"/>
    </xf>
    <xf numFmtId="0" fontId="41" fillId="32" borderId="1" applyAlignment="1" pivotButton="0" quotePrefix="0" xfId="0">
      <alignment horizontal="left" vertical="center" wrapText="1"/>
    </xf>
    <xf numFmtId="165" fontId="0" fillId="0" borderId="0" pivotButton="0" quotePrefix="0" xfId="0"/>
    <xf numFmtId="3" fontId="41" fillId="23" borderId="1" applyAlignment="1" pivotButton="0" quotePrefix="0" xfId="0">
      <alignment horizontal="right" vertical="center" wrapText="1"/>
    </xf>
    <xf numFmtId="0" fontId="40" fillId="32" borderId="1" applyAlignment="1" pivotButton="0" quotePrefix="0" xfId="0">
      <alignment horizontal="left" vertical="top" wrapText="1"/>
    </xf>
    <xf numFmtId="165" fontId="41" fillId="0" borderId="0" pivotButton="0" quotePrefix="0" xfId="0"/>
    <xf numFmtId="165" fontId="41" fillId="0" borderId="0" pivotButton="0" quotePrefix="0" xfId="2"/>
    <xf numFmtId="0" fontId="50" fillId="5" borderId="6" applyAlignment="1" pivotButton="0" quotePrefix="0" xfId="0">
      <alignment horizontal="center" vertical="center" wrapText="1"/>
    </xf>
    <xf numFmtId="0" fontId="50" fillId="5" borderId="3" applyAlignment="1" pivotButton="0" quotePrefix="0" xfId="0">
      <alignment horizontal="center" vertical="center" wrapText="1"/>
    </xf>
    <xf numFmtId="164" fontId="4" fillId="0" borderId="0" pivotButton="0" quotePrefix="0" xfId="0"/>
    <xf numFmtId="164" fontId="3" fillId="0" borderId="0" pivotButton="0" quotePrefix="0" xfId="0"/>
    <xf numFmtId="164" fontId="16" fillId="0" borderId="1" applyAlignment="1" pivotButton="0" quotePrefix="0" xfId="4">
      <alignment horizontal="right" vertical="center" wrapText="1"/>
    </xf>
    <xf numFmtId="164" fontId="20" fillId="0" borderId="0" pivotButton="0" quotePrefix="0" xfId="0"/>
    <xf numFmtId="0" fontId="0" fillId="0" borderId="7" applyProtection="1" pivotButton="0" quotePrefix="0" xfId="0">
      <protection locked="0" hidden="0"/>
    </xf>
    <xf numFmtId="0" fontId="0" fillId="0" borderId="5" applyProtection="1" pivotButton="0" quotePrefix="0" xfId="0">
      <protection locked="0" hidden="0"/>
    </xf>
    <xf numFmtId="0" fontId="42" fillId="13" borderId="1" applyAlignment="1" pivotButton="0" quotePrefix="0" xfId="0">
      <alignment horizontal="left" vertical="center" wrapText="1"/>
    </xf>
    <xf numFmtId="0" fontId="32" fillId="14" borderId="1" applyAlignment="1" pivotButton="0" quotePrefix="0" xfId="0">
      <alignment horizontal="center" vertical="center" wrapText="1"/>
    </xf>
    <xf numFmtId="165" fontId="33" fillId="0" borderId="0" applyProtection="1" pivotButton="0" quotePrefix="0" xfId="2">
      <protection locked="0" hidden="0"/>
    </xf>
    <xf numFmtId="165" fontId="33" fillId="0" borderId="0" applyProtection="1" pivotButton="0" quotePrefix="0" xfId="0">
      <protection locked="0" hidden="0"/>
    </xf>
    <xf numFmtId="0" fontId="0" fillId="0" borderId="23" applyProtection="1" pivotButton="0" quotePrefix="0" xfId="0">
      <protection locked="0" hidden="0"/>
    </xf>
    <xf numFmtId="0" fontId="0" fillId="0" borderId="0" applyProtection="1" pivotButton="0" quotePrefix="0" xfId="0">
      <protection locked="0" hidden="0"/>
    </xf>
    <xf numFmtId="0" fontId="32" fillId="0" borderId="1" applyAlignment="1" pivotButton="0" quotePrefix="0" xfId="0">
      <alignment horizontal="center" vertical="center" wrapText="1"/>
    </xf>
    <xf numFmtId="0" fontId="32" fillId="25" borderId="1" applyAlignment="1" pivotButton="0" quotePrefix="0" xfId="0">
      <alignment horizontal="left" vertical="center" wrapText="1"/>
    </xf>
    <xf numFmtId="165" fontId="27" fillId="0" borderId="0" pivotButton="0" quotePrefix="0" xfId="2"/>
    <xf numFmtId="0" fontId="0" fillId="0" borderId="74" pivotButton="0" quotePrefix="0" xfId="0"/>
    <xf numFmtId="0" fontId="0" fillId="0" borderId="63" pivotButton="0" quotePrefix="0" xfId="0"/>
    <xf numFmtId="165" fontId="0" fillId="24" borderId="0" pivotButton="0" quotePrefix="0" xfId="2"/>
    <xf numFmtId="165" fontId="27" fillId="0" borderId="1" pivotButton="0" quotePrefix="0" xfId="2"/>
    <xf numFmtId="165" fontId="0" fillId="9" borderId="0" pivotButton="0" quotePrefix="0" xfId="2"/>
    <xf numFmtId="164" fontId="18" fillId="0" borderId="0" applyAlignment="1" applyProtection="1" pivotButton="0" quotePrefix="0" xfId="11">
      <alignment horizontal="right" vertical="top"/>
      <protection locked="0" hidden="0"/>
    </xf>
    <xf numFmtId="165" fontId="53" fillId="0" borderId="1" pivotButton="0" quotePrefix="0" xfId="2"/>
    <xf numFmtId="172" fontId="73" fillId="0" borderId="1" applyAlignment="1" pivotButton="0" quotePrefix="0" xfId="0">
      <alignment horizontal="left" vertical="top" shrinkToFit="1" indent="2"/>
    </xf>
    <xf numFmtId="165" fontId="0" fillId="0" borderId="0" applyAlignment="1" pivotButton="0" quotePrefix="0" xfId="2">
      <alignment horizontal="right"/>
    </xf>
    <xf numFmtId="168" fontId="17" fillId="0" borderId="65" applyAlignment="1" applyProtection="1" pivotButton="0" quotePrefix="0" xfId="0">
      <alignment horizontal="right" vertical="center" wrapText="1"/>
      <protection locked="0" hidden="0"/>
    </xf>
    <xf numFmtId="168" fontId="17" fillId="0" borderId="0" applyAlignment="1" applyProtection="1" pivotButton="0" quotePrefix="0" xfId="0">
      <alignment horizontal="right" vertical="center" wrapText="1"/>
      <protection locked="0" hidden="0"/>
    </xf>
    <xf numFmtId="164" fontId="17" fillId="0" borderId="19" applyAlignment="1" applyProtection="1" pivotButton="0" quotePrefix="0" xfId="0">
      <alignment horizontal="justify" vertical="center" wrapText="1"/>
      <protection locked="0" hidden="0"/>
    </xf>
    <xf numFmtId="172" fontId="73" fillId="0" borderId="14" applyAlignment="1" pivotButton="0" quotePrefix="0" xfId="0">
      <alignment horizontal="left" vertical="top" shrinkToFit="1" indent="2"/>
    </xf>
    <xf numFmtId="3" fontId="42" fillId="13" borderId="3" applyAlignment="1" pivotButton="0" quotePrefix="0" xfId="0">
      <alignment horizontal="center" vertical="center" wrapText="1"/>
    </xf>
    <xf numFmtId="3" fontId="51" fillId="5" borderId="1" applyAlignment="1" pivotButton="0" quotePrefix="0" xfId="0">
      <alignment horizontal="center"/>
    </xf>
    <xf numFmtId="3" fontId="51" fillId="5" borderId="1" applyAlignment="1" pivotButton="0" quotePrefix="0" xfId="0">
      <alignment horizontal="center" wrapText="1"/>
    </xf>
    <xf numFmtId="3" fontId="33" fillId="11" borderId="1" applyAlignment="1" pivotButton="0" quotePrefix="0" xfId="0">
      <alignment horizontal="left"/>
    </xf>
    <xf numFmtId="3" fontId="33" fillId="28" borderId="1" applyAlignment="1" pivotButton="0" quotePrefix="0" xfId="0">
      <alignment horizontal="right" vertical="center"/>
    </xf>
    <xf numFmtId="3" fontId="32" fillId="28" borderId="1" applyAlignment="1" pivotButton="0" quotePrefix="0" xfId="0">
      <alignment horizontal="center" vertical="center"/>
    </xf>
    <xf numFmtId="3" fontId="33" fillId="28" borderId="1" applyAlignment="1" applyProtection="1" pivotButton="0" quotePrefix="0" xfId="0">
      <alignment horizontal="center"/>
      <protection locked="0" hidden="0"/>
    </xf>
    <xf numFmtId="171" fontId="6" fillId="5" borderId="1" applyAlignment="1" pivotButton="0" quotePrefix="0" xfId="11">
      <alignment horizontal="center" textRotation="90"/>
    </xf>
    <xf numFmtId="3" fontId="32" fillId="3" borderId="2" applyAlignment="1" pivotButton="0" quotePrefix="0" xfId="11">
      <alignment horizontal="center" vertical="center" wrapText="1"/>
    </xf>
    <xf numFmtId="3" fontId="33" fillId="3" borderId="1" applyAlignment="1" pivotButton="0" quotePrefix="0" xfId="0">
      <alignment horizontal="center" vertical="center"/>
    </xf>
    <xf numFmtId="3" fontId="32" fillId="3" borderId="7" applyAlignment="1" pivotButton="0" quotePrefix="0" xfId="11">
      <alignment horizontal="center" vertical="center" wrapText="1"/>
    </xf>
    <xf numFmtId="3" fontId="33" fillId="11" borderId="1" applyAlignment="1" pivotButton="0" quotePrefix="0" xfId="0">
      <alignment horizontal="left" wrapText="1"/>
    </xf>
    <xf numFmtId="3" fontId="33" fillId="11" borderId="1" applyAlignment="1" pivotButton="0" quotePrefix="0" xfId="0">
      <alignment wrapText="1"/>
    </xf>
    <xf numFmtId="3" fontId="33" fillId="11" borderId="1" pivotButton="0" quotePrefix="0" xfId="0"/>
    <xf numFmtId="171" fontId="6" fillId="5" borderId="1" applyAlignment="1" pivotButton="0" quotePrefix="0" xfId="11">
      <alignment textRotation="90"/>
    </xf>
    <xf numFmtId="171" fontId="6" fillId="5" borderId="21" applyAlignment="1" pivotButton="0" quotePrefix="0" xfId="11">
      <alignment horizontal="center" textRotation="90"/>
    </xf>
    <xf numFmtId="165" fontId="31" fillId="0" borderId="0" pivotButton="0" quotePrefix="0" xfId="2"/>
    <xf numFmtId="165" fontId="31" fillId="0" borderId="1" pivotButton="0" quotePrefix="0" xfId="2"/>
    <xf numFmtId="164" fontId="31" fillId="0" borderId="1" applyAlignment="1" pivotButton="0" quotePrefix="0" xfId="2">
      <alignment horizontal="right"/>
    </xf>
    <xf numFmtId="165" fontId="86" fillId="0" borderId="0" pivotButton="0" quotePrefix="0" xfId="2"/>
    <xf numFmtId="164" fontId="31" fillId="0" borderId="1" pivotButton="0" quotePrefix="0" xfId="2"/>
    <xf numFmtId="164" fontId="31" fillId="0" borderId="0" pivotButton="0" quotePrefix="0" xfId="2"/>
    <xf numFmtId="165" fontId="51" fillId="0" borderId="1" applyAlignment="1" pivotButton="0" quotePrefix="0" xfId="2">
      <alignment horizontal="center"/>
    </xf>
    <xf numFmtId="164" fontId="51" fillId="0" borderId="1" applyAlignment="1" pivotButton="0" quotePrefix="0" xfId="2">
      <alignment horizontal="center"/>
    </xf>
    <xf numFmtId="165" fontId="51" fillId="0" borderId="1" pivotButton="0" quotePrefix="0" xfId="2"/>
    <xf numFmtId="164" fontId="51" fillId="0" borderId="1" pivotButton="0" quotePrefix="0" xfId="2"/>
    <xf numFmtId="165" fontId="84" fillId="0" borderId="0" pivotButton="0" quotePrefix="0" xfId="2"/>
    <xf numFmtId="165" fontId="81" fillId="33" borderId="0" applyAlignment="1" pivotButton="0" quotePrefix="0" xfId="2">
      <alignment horizontal="center"/>
    </xf>
    <xf numFmtId="165" fontId="0" fillId="0" borderId="1" pivotButton="0" quotePrefix="0" xfId="2"/>
    <xf numFmtId="165" fontId="30" fillId="0" borderId="1" applyAlignment="1" pivotButton="0" quotePrefix="0" xfId="2">
      <alignment horizontal="center"/>
    </xf>
    <xf numFmtId="164" fontId="51" fillId="0" borderId="2" applyAlignment="1" pivotButton="0" quotePrefix="0" xfId="2">
      <alignment horizontal="right"/>
    </xf>
    <xf numFmtId="164" fontId="51" fillId="0" borderId="2" pivotButton="0" quotePrefix="0" xfId="2"/>
    <xf numFmtId="3" fontId="32" fillId="6" borderId="3" applyAlignment="1" pivotButton="0" quotePrefix="0" xfId="0">
      <alignment horizontal="center"/>
    </xf>
    <xf numFmtId="3" fontId="32" fillId="3" borderId="1" applyAlignment="1" pivotButton="0" quotePrefix="0" xfId="11">
      <alignment horizontal="center" vertical="center"/>
    </xf>
    <xf numFmtId="3" fontId="33" fillId="11" borderId="6" applyAlignment="1" applyProtection="1" pivotButton="0" quotePrefix="0" xfId="0">
      <alignment horizontal="left"/>
      <protection locked="0" hidden="0"/>
    </xf>
    <xf numFmtId="0" fontId="0" fillId="0" borderId="24" applyProtection="1" pivotButton="0" quotePrefix="0" xfId="0">
      <protection locked="0" hidden="0"/>
    </xf>
    <xf numFmtId="0" fontId="0" fillId="0" borderId="21" applyProtection="1" pivotButton="0" quotePrefix="0" xfId="0">
      <protection locked="0" hidden="0"/>
    </xf>
    <xf numFmtId="3" fontId="33" fillId="30" borderId="1" applyAlignment="1" applyProtection="1" pivotButton="0" quotePrefix="0" xfId="0">
      <alignment horizontal="left"/>
      <protection locked="0" hidden="0"/>
    </xf>
    <xf numFmtId="3" fontId="33" fillId="11" borderId="1" applyAlignment="1" applyProtection="1" pivotButton="0" quotePrefix="0" xfId="0">
      <alignment horizontal="left" wrapText="1"/>
      <protection locked="0" hidden="0"/>
    </xf>
    <xf numFmtId="0" fontId="0" fillId="0" borderId="80" pivotButton="0" quotePrefix="0" xfId="0"/>
    <xf numFmtId="0" fontId="0" fillId="0" borderId="81" pivotButton="0" quotePrefix="0" xfId="0"/>
    <xf numFmtId="0" fontId="0" fillId="0" borderId="78" applyProtection="1" pivotButton="0" quotePrefix="0" xfId="0">
      <protection locked="0" hidden="0"/>
    </xf>
    <xf numFmtId="0" fontId="0" fillId="0" borderId="78" pivotButton="0" quotePrefix="0" xfId="0"/>
    <xf numFmtId="0" fontId="0" fillId="0" borderId="77" pivotButton="0" quotePrefix="0" xfId="0"/>
    <xf numFmtId="0" fontId="0" fillId="0" borderId="82" pivotButton="0" quotePrefix="0" xfId="0"/>
    <xf numFmtId="168" fontId="31" fillId="0" borderId="67" applyProtection="1" pivotButton="0" quotePrefix="0" xfId="0">
      <protection locked="0" hidden="0"/>
    </xf>
    <xf numFmtId="173" fontId="31" fillId="0" borderId="67" pivotButton="0" quotePrefix="0" xfId="14"/>
    <xf numFmtId="0" fontId="0" fillId="0" borderId="79" pivotButton="0" quotePrefix="0" xfId="0"/>
    <xf numFmtId="0" fontId="0" fillId="0" borderId="83" pivotButton="0" quotePrefix="0" xfId="0"/>
    <xf numFmtId="0" fontId="0" fillId="0" borderId="84" pivotButton="0" quotePrefix="0" xfId="0"/>
    <xf numFmtId="0" fontId="0" fillId="0" borderId="85" pivotButton="0" quotePrefix="0" xfId="0"/>
    <xf numFmtId="0" fontId="0" fillId="0" borderId="79" applyProtection="1" pivotButton="0" quotePrefix="0" xfId="0">
      <protection locked="0" hidden="0"/>
    </xf>
    <xf numFmtId="0" fontId="0" fillId="0" borderId="17" applyProtection="1" pivotButton="0" quotePrefix="0" xfId="0">
      <protection locked="0" hidden="0"/>
    </xf>
    <xf numFmtId="0" fontId="0" fillId="0" borderId="3" applyProtection="1" pivotButton="0" quotePrefix="0" xfId="0">
      <protection locked="0" hidden="0"/>
    </xf>
    <xf numFmtId="0" fontId="0" fillId="0" borderId="4" applyProtection="1" pivotButton="0" quotePrefix="0" xfId="0">
      <protection locked="0" hidden="0"/>
    </xf>
    <xf numFmtId="173" fontId="31" fillId="0" borderId="1" pivotButton="0" quotePrefix="0" xfId="14"/>
    <xf numFmtId="3" fontId="79" fillId="3" borderId="75" applyAlignment="1" pivotButton="0" quotePrefix="0" xfId="0">
      <alignment horizontal="center" vertical="center" wrapText="1"/>
    </xf>
    <xf numFmtId="0" fontId="0" fillId="0" borderId="66" pivotButton="0" quotePrefix="0" xfId="0"/>
    <xf numFmtId="0" fontId="0" fillId="0" borderId="65" pivotButton="0" quotePrefix="0" xfId="0"/>
    <xf numFmtId="173" fontId="11" fillId="2" borderId="3" applyAlignment="1" pivotButton="0" quotePrefix="0" xfId="0">
      <alignment horizontal="center" vertical="center" wrapText="1"/>
    </xf>
    <xf numFmtId="173" fontId="11" fillId="2" borderId="4" applyAlignment="1" pivotButton="0" quotePrefix="0" xfId="0">
      <alignment horizontal="center" vertical="center" wrapText="1"/>
    </xf>
    <xf numFmtId="173" fontId="11" fillId="3" borderId="1" applyAlignment="1" pivotButton="0" quotePrefix="0" xfId="0">
      <alignment horizontal="left" vertical="center" wrapText="1"/>
    </xf>
    <xf numFmtId="3" fontId="17" fillId="3" borderId="1" applyAlignment="1" pivotButton="0" quotePrefix="0" xfId="0">
      <alignment horizontal="center" vertical="center" wrapText="1"/>
    </xf>
    <xf numFmtId="3" fontId="11" fillId="3" borderId="1" applyAlignment="1" pivotButton="0" quotePrefix="0" xfId="0">
      <alignment horizontal="center" vertical="center" wrapText="1"/>
    </xf>
    <xf numFmtId="164" fontId="11" fillId="3" borderId="3" applyAlignment="1" pivotButton="0" quotePrefix="0" xfId="2">
      <alignment vertical="center" wrapText="1"/>
    </xf>
    <xf numFmtId="164" fontId="11" fillId="3" borderId="1" applyAlignment="1" pivotButton="0" quotePrefix="0" xfId="2">
      <alignment vertical="center" wrapText="1"/>
    </xf>
    <xf numFmtId="165" fontId="17" fillId="0" borderId="0" applyAlignment="1" pivotButton="0" quotePrefix="0" xfId="2">
      <alignment horizontal="justify" vertical="center" wrapText="1"/>
    </xf>
    <xf numFmtId="176" fontId="88" fillId="34" borderId="6" applyAlignment="1" pivotButton="0" quotePrefix="0" xfId="1">
      <alignment horizontal="center" vertical="center" wrapText="1"/>
    </xf>
    <xf numFmtId="164" fontId="33" fillId="0" borderId="67" applyAlignment="1" applyProtection="1" pivotButton="0" quotePrefix="0" xfId="1">
      <alignment horizontal="right" vertical="center" wrapText="1"/>
      <protection locked="0" hidden="0"/>
    </xf>
    <xf numFmtId="164" fontId="33" fillId="35" borderId="67" applyAlignment="1" applyProtection="1" pivotButton="0" quotePrefix="0" xfId="1">
      <alignment horizontal="right" vertical="center" wrapText="1"/>
      <protection locked="0" hidden="0"/>
    </xf>
    <xf numFmtId="164" fontId="33" fillId="35" borderId="67" applyAlignment="1" applyProtection="1" pivotButton="0" quotePrefix="0" xfId="0">
      <alignment horizontal="right" vertical="center" wrapText="1"/>
      <protection locked="0" hidden="0"/>
    </xf>
    <xf numFmtId="165" fontId="75" fillId="0" borderId="0" applyAlignment="1" pivotButton="0" quotePrefix="0" xfId="2">
      <alignment horizontal="justify" vertical="center" wrapText="1"/>
    </xf>
    <xf numFmtId="165" fontId="33" fillId="0" borderId="0" pivotButton="0" quotePrefix="0" xfId="2"/>
    <xf numFmtId="0" fontId="51" fillId="35" borderId="67" applyAlignment="1" applyProtection="1" pivotButton="0" quotePrefix="0" xfId="0">
      <alignment horizontal="left" vertical="center" wrapText="1"/>
      <protection locked="0" hidden="0"/>
    </xf>
    <xf numFmtId="0" fontId="0" fillId="0" borderId="69" applyProtection="1" pivotButton="0" quotePrefix="0" xfId="0">
      <protection locked="0" hidden="0"/>
    </xf>
    <xf numFmtId="0" fontId="0" fillId="0" borderId="70" applyProtection="1" pivotButton="0" quotePrefix="0" xfId="0">
      <protection locked="0" hidden="0"/>
    </xf>
    <xf numFmtId="164" fontId="51" fillId="35" borderId="67" applyAlignment="1" applyProtection="1" pivotButton="0" quotePrefix="0" xfId="0">
      <alignment horizontal="right" vertical="center" wrapText="1"/>
      <protection locked="0" hidden="0"/>
    </xf>
    <xf numFmtId="165" fontId="75" fillId="0" borderId="0" applyAlignment="1" pivotButton="0" quotePrefix="0" xfId="2">
      <alignment horizontal="justify" vertical="center"/>
    </xf>
    <xf numFmtId="3" fontId="32" fillId="3" borderId="1" applyAlignment="1" pivotButton="0" quotePrefix="0" xfId="0">
      <alignment horizontal="left"/>
    </xf>
    <xf numFmtId="3" fontId="32" fillId="5" borderId="1" applyAlignment="1" applyProtection="1" pivotButton="0" quotePrefix="0" xfId="0">
      <alignment horizontal="left"/>
      <protection locked="0" hidden="0"/>
    </xf>
    <xf numFmtId="0" fontId="0" fillId="0" borderId="72" pivotButton="0" quotePrefix="0" xfId="0"/>
    <xf numFmtId="0" fontId="0" fillId="0" borderId="73" pivotButton="0" quotePrefix="0" xfId="0"/>
    <xf numFmtId="0" fontId="0" fillId="0" borderId="87" pivotButton="0" quotePrefix="0" xfId="0"/>
    <xf numFmtId="0" fontId="47" fillId="0" borderId="11" applyAlignment="1" pivotButton="0" quotePrefix="0" xfId="0">
      <alignment horizontal="left" vertical="center" wrapText="1"/>
    </xf>
    <xf numFmtId="0" fontId="25" fillId="0" borderId="88" applyAlignment="1" pivotButton="0" quotePrefix="0" xfId="0">
      <alignment horizontal="left" vertical="center" wrapText="1"/>
    </xf>
    <xf numFmtId="0" fontId="0" fillId="0" borderId="29" pivotButton="0" quotePrefix="0" xfId="0"/>
    <xf numFmtId="0" fontId="26" fillId="0" borderId="11" applyAlignment="1" pivotButton="0" quotePrefix="0" xfId="0">
      <alignment horizontal="left" vertical="center" wrapText="1"/>
    </xf>
    <xf numFmtId="0" fontId="25" fillId="0" borderId="11" applyAlignment="1" pivotButton="0" quotePrefix="0" xfId="0">
      <alignment horizontal="left" vertical="top" wrapText="1"/>
    </xf>
    <xf numFmtId="0" fontId="25" fillId="0" borderId="11" applyAlignment="1" pivotButton="0" quotePrefix="0" xfId="0">
      <alignment horizontal="left" vertical="center" wrapText="1"/>
    </xf>
    <xf numFmtId="170" fontId="25" fillId="0" borderId="1" applyAlignment="1" pivotButton="0" quotePrefix="0" xfId="0">
      <alignment horizontal="center" vertical="center" wrapText="1"/>
    </xf>
    <xf numFmtId="41" fontId="1" fillId="28" borderId="0" pivotButton="0" quotePrefix="0" xfId="42"/>
    <xf numFmtId="41" fontId="27" fillId="28" borderId="0" pivotButton="0" quotePrefix="0" xfId="42"/>
    <xf numFmtId="164" fontId="18" fillId="0" borderId="0" applyAlignment="1" pivotButton="0" quotePrefix="0" xfId="11">
      <alignment horizontal="right" vertical="top"/>
    </xf>
    <xf numFmtId="0" fontId="0" fillId="0" borderId="61" pivotButton="0" quotePrefix="0" xfId="0"/>
    <xf numFmtId="0" fontId="0" fillId="0" borderId="62" pivotButton="0" quotePrefix="0" xfId="0"/>
    <xf numFmtId="0" fontId="0" fillId="0" borderId="41" pivotButton="0" quotePrefix="0" xfId="0"/>
    <xf numFmtId="0" fontId="0" fillId="0" borderId="42" pivotButton="0" quotePrefix="0" xfId="0"/>
    <xf numFmtId="164" fontId="54" fillId="0" borderId="39" applyAlignment="1" pivotButton="0" quotePrefix="0" xfId="11">
      <alignment horizontal="right" vertical="top"/>
    </xf>
    <xf numFmtId="0" fontId="0" fillId="0" borderId="45" pivotButton="0" quotePrefix="0" xfId="0"/>
    <xf numFmtId="0" fontId="0" fillId="0" borderId="46" pivotButton="0" quotePrefix="0" xfId="0"/>
    <xf numFmtId="0" fontId="0" fillId="0" borderId="43" pivotButton="0" quotePrefix="0" xfId="0"/>
    <xf numFmtId="0" fontId="0" fillId="0" borderId="44" pivotButton="0" quotePrefix="0" xfId="0"/>
    <xf numFmtId="164" fontId="18" fillId="0" borderId="40" applyAlignment="1" pivotButton="0" quotePrefix="0" xfId="11">
      <alignment horizontal="right" vertical="top"/>
    </xf>
    <xf numFmtId="166" fontId="4" fillId="0" borderId="1" applyAlignment="1" pivotButton="0" quotePrefix="0" xfId="0">
      <alignment horizontal="center" vertical="center" wrapText="1"/>
    </xf>
    <xf numFmtId="167" fontId="4" fillId="0" borderId="1" applyAlignment="1" pivotButton="0" quotePrefix="0" xfId="18">
      <alignment horizontal="center" vertical="center" wrapText="1"/>
    </xf>
    <xf numFmtId="167" fontId="4" fillId="0" borderId="1" applyAlignment="1" pivotButton="0" quotePrefix="0" xfId="0">
      <alignment horizontal="center" vertical="center" wrapText="1"/>
    </xf>
    <xf numFmtId="3" fontId="3" fillId="0" borderId="94" applyAlignment="1" pivotButton="0" quotePrefix="0" xfId="0">
      <alignment horizontal="left" vertical="center" wrapText="1"/>
    </xf>
    <xf numFmtId="0" fontId="0" fillId="0" borderId="48" pivotButton="0" quotePrefix="0" xfId="0"/>
    <xf numFmtId="0" fontId="0" fillId="0" borderId="49" pivotButton="0" quotePrefix="0" xfId="0"/>
    <xf numFmtId="3" fontId="3" fillId="0" borderId="97" applyAlignment="1" pivotButton="0" quotePrefix="0" xfId="0">
      <alignment horizontal="left" vertical="center" wrapText="1"/>
    </xf>
    <xf numFmtId="3" fontId="3" fillId="0" borderId="98" applyAlignment="1" pivotButton="0" quotePrefix="0" xfId="0">
      <alignment horizontal="left" vertical="center" wrapText="1"/>
    </xf>
    <xf numFmtId="0" fontId="0" fillId="0" borderId="52" pivotButton="0" quotePrefix="0" xfId="0"/>
    <xf numFmtId="0" fontId="0" fillId="0" borderId="53" pivotButton="0" quotePrefix="0" xfId="0"/>
    <xf numFmtId="164" fontId="18" fillId="0" borderId="35" applyAlignment="1" pivotButton="0" quotePrefix="0" xfId="11">
      <alignment horizontal="right" vertical="top"/>
    </xf>
    <xf numFmtId="166" fontId="21" fillId="0" borderId="1" applyAlignment="1" pivotButton="0" quotePrefix="0" xfId="0">
      <alignment horizontal="center" vertical="center" wrapText="1"/>
    </xf>
    <xf numFmtId="167" fontId="22" fillId="0" borderId="1" applyAlignment="1" pivotButton="0" quotePrefix="0" xfId="18">
      <alignment horizontal="center" vertical="center" wrapText="1"/>
    </xf>
    <xf numFmtId="3" fontId="3" fillId="0" borderId="101" applyAlignment="1" pivotButton="0" quotePrefix="0" xfId="0">
      <alignment horizontal="left" vertical="center" wrapText="1"/>
    </xf>
    <xf numFmtId="0" fontId="0" fillId="0" borderId="55" pivotButton="0" quotePrefix="0" xfId="0"/>
    <xf numFmtId="0" fontId="0" fillId="0" borderId="56" pivotButton="0" quotePrefix="0" xfId="0"/>
    <xf numFmtId="3" fontId="3" fillId="0" borderId="99" applyAlignment="1" pivotButton="0" quotePrefix="0" xfId="0">
      <alignment horizontal="left" vertical="center" wrapText="1"/>
    </xf>
    <xf numFmtId="3" fontId="3" fillId="0" borderId="100" applyAlignment="1" pivotButton="0" quotePrefix="0" xfId="0">
      <alignment horizontal="left" vertical="center" wrapText="1"/>
    </xf>
    <xf numFmtId="0" fontId="0" fillId="0" borderId="59" pivotButton="0" quotePrefix="0" xfId="0"/>
    <xf numFmtId="0" fontId="0" fillId="0" borderId="60" pivotButton="0" quotePrefix="0" xfId="0"/>
    <xf numFmtId="3" fontId="32" fillId="3" borderId="5" applyAlignment="1" pivotButton="0" quotePrefix="0" xfId="11">
      <alignment horizontal="center" vertical="center" wrapText="1"/>
    </xf>
    <xf numFmtId="3" fontId="32" fillId="17" borderId="1" applyAlignment="1" pivotButton="0" quotePrefix="0" xfId="0">
      <alignment horizontal="left"/>
    </xf>
    <xf numFmtId="3" fontId="32" fillId="17" borderId="1" applyAlignment="1" pivotButton="0" quotePrefix="0" xfId="0">
      <alignment horizontal="left" wrapText="1"/>
    </xf>
    <xf numFmtId="0" fontId="33" fillId="0" borderId="1" applyAlignment="1" pivotButton="0" quotePrefix="0" xfId="0">
      <alignment horizontal="left" vertical="top" wrapText="1"/>
    </xf>
    <xf numFmtId="0" fontId="16" fillId="0" borderId="1" applyAlignment="1" pivotButton="0" quotePrefix="0" xfId="0">
      <alignment horizontal="left"/>
    </xf>
    <xf numFmtId="165" fontId="32" fillId="7" borderId="1" pivotButton="0" quotePrefix="0" xfId="2"/>
    <xf numFmtId="184" fontId="31" fillId="23" borderId="1" pivotButton="0" quotePrefix="0" xfId="0"/>
    <xf numFmtId="184" fontId="31" fillId="26" borderId="1" pivotButton="0" quotePrefix="0" xfId="0"/>
  </cellXfs>
  <cellStyles count="44">
    <cellStyle name="Normal" xfId="0" builtinId="0"/>
    <cellStyle name="Millares" xfId="1" builtinId="3"/>
    <cellStyle name="Millares [0]" xfId="2" builtinId="6"/>
    <cellStyle name="Moneda" xfId="3" builtinId="4"/>
    <cellStyle name="Moneda [0]" xfId="4" builtinId="7"/>
    <cellStyle name="Euro" xfId="5"/>
    <cellStyle name="Euro 2" xfId="6"/>
    <cellStyle name="Hipervínculo 2" xfId="7"/>
    <cellStyle name="Hipervínculo 2 2" xfId="8"/>
    <cellStyle name="Hipervínculo 3" xfId="9"/>
    <cellStyle name="Hipervínculo 4" xfId="10"/>
    <cellStyle name="Hipervínculo" xfId="11" builtinId="8"/>
    <cellStyle name="Millares [0] 2" xfId="12"/>
    <cellStyle name="Millares [0] 3" xfId="13"/>
    <cellStyle name="Millares 2" xfId="14"/>
    <cellStyle name="Millares 2 2" xfId="15"/>
    <cellStyle name="Millares 2 3" xfId="16"/>
    <cellStyle name="Millares 3" xfId="17"/>
    <cellStyle name="Millares 4" xfId="18"/>
    <cellStyle name="Millares 5" xfId="19"/>
    <cellStyle name="Millares 6" xfId="20"/>
    <cellStyle name="Moneda [0] 2" xfId="21"/>
    <cellStyle name="Moneda 2" xfId="22"/>
    <cellStyle name="Moneda 2 2" xfId="23"/>
    <cellStyle name="Normal 2" xfId="24"/>
    <cellStyle name="Normal 2 2" xfId="25"/>
    <cellStyle name="Normal 2 3" xfId="26"/>
    <cellStyle name="Normal 2 4" xfId="27"/>
    <cellStyle name="Normal 3" xfId="28"/>
    <cellStyle name="Normal 3 2" xfId="29"/>
    <cellStyle name="Normal 3 2 2" xfId="30"/>
    <cellStyle name="Normal 3 3" xfId="31"/>
    <cellStyle name="Normal 3 4" xfId="32"/>
    <cellStyle name="Normal 4" xfId="33"/>
    <cellStyle name="Porcentaje" xfId="34" builtinId="5"/>
    <cellStyle name="Porcentaje 2" xfId="35"/>
    <cellStyle name="Porcentaje 2 2" xfId="36"/>
    <cellStyle name="Porcentaje 3" xfId="37"/>
    <cellStyle name="Porcentual 2" xfId="38"/>
    <cellStyle name="Normal 5" xfId="39"/>
    <cellStyle name="Moneda [0] 3" xfId="40"/>
    <cellStyle name="Moneda [0] 4" xfId="41"/>
    <cellStyle name="Millares [0] 2 2" xfId="42"/>
    <cellStyle name="Comma [0] 2" xfId="43"/>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externalLink" Target="/xl/externalLinks/externalLink1.xml" Id="rId26"/><Relationship Type="http://schemas.openxmlformats.org/officeDocument/2006/relationships/styles" Target="styles.xml" Id="rId27"/><Relationship Type="http://schemas.openxmlformats.org/officeDocument/2006/relationships/theme" Target="theme/theme1.xml" Id="rId28"/></Relationships>
</file>

<file path=xl/comments/comment1.xml><?xml version="1.0" encoding="utf-8"?>
<comments xmlns="http://schemas.openxmlformats.org/spreadsheetml/2006/main">
  <authors>
    <author>CESAR ANZOLA</author>
  </authors>
  <commentList>
    <comment ref="C15" authorId="0" shapeId="0">
      <text>
        <t>Digite aca el valor pagado en el 2025 de la renta año 2024</t>
      </text>
    </comment>
  </commentList>
</comments>
</file>

<file path=xl/comments/comment2.xml><?xml version="1.0" encoding="utf-8"?>
<comments xmlns="http://schemas.openxmlformats.org/spreadsheetml/2006/main">
  <authors>
    <author>CESAR ANZOLA</author>
  </authors>
  <commentList>
    <comment ref="C62" authorId="0" shapeId="0">
      <text>
        <t>Escriba "Si" si desea reajustar fiscalmente el valor de las acciones o vehiculo a dic. 31 de 2018. De lo contrario escriba "No"</t>
      </text>
    </comment>
    <comment ref="D62" authorId="0" shapeId="0">
      <text>
        <t>El art. 272 E.T. señala que el valor por el cual se deben declarar las acciones es por su valor nominal</t>
      </text>
    </comment>
    <comment ref="C83" authorId="0" shapeId="0">
      <text>
        <t>Escriba "Si" si desea reajustar fiscalmente el valor de los inmuebles a dic. 31 de 2018. De lo contrario escriba "No"</t>
      </text>
    </comment>
    <comment ref="D83" authorId="0" shapeId="0">
      <text>
        <t>El art. 272 E.T. señala que el valor por el cual se deben declarar las acciones es por su valor nominal</t>
      </text>
    </comment>
    <comment ref="D105" authorId="0" shapeId="0">
      <text>
        <t>Art. 69 E.T.</t>
      </text>
    </comment>
    <comment ref="D121" authorId="0" shapeId="0">
      <text>
        <t>Art. 1 Decreto 128 de 2024</t>
      </text>
    </comment>
  </commentList>
</comments>
</file>

<file path=xl/comments/comment3.xml><?xml version="1.0" encoding="utf-8"?>
<comments xmlns="http://schemas.openxmlformats.org/spreadsheetml/2006/main">
  <authors>
    <author>Maria Alejandra Triana Gallo</author>
    <author>CESAR ANZOLA</author>
  </authors>
  <commentList>
    <comment ref="F24" authorId="0" shapeId="0">
      <text>
        <t xml:space="preserve">ART. 55 APORTES OBLIGATORIOS AL SISTEMA GENERAL DE PENSIONES. Las cotizaciones voluntarias al régimen de ahorro individual con solidaridad son un ingreso no constitutivo de renta ni de ganancia ocasional para el aportante, en un porcentaje que no exceda el veinticinco por ciento (25%) del ingreso laboral o tributario anual, limitado a 2.500 UVT
</t>
      </text>
    </comment>
    <comment ref="H34" authorId="0" shapeId="0">
      <text>
        <t>Art. 156: Las rentas de trabajo
no podrán afectarse con pérdidas, cualquiera que fuese su origen.</t>
      </text>
    </comment>
    <comment ref="L34" authorId="0" shapeId="0">
      <text>
        <t>Art. 156: Las rentas de trabajo
no podrán afectarse con pérdidas, cualquiera que fuese su origen.</t>
      </text>
    </comment>
    <comment ref="F50" authorId="1" shapeId="0">
      <text>
        <t>ARTÍCULO 126-4. INCENTIVO AL AHORRO DE LARGO PLAZO PARA EL FOMENTO DE LA CONSTRUCCIÓN. (Artículo modifi cado por el artículo 16 de la Ley 1819 de 29 de diciembre de 2016). Las sumas que los contribuyentes personas naturales depositen en las cuentas de ahorro denominadas Ahorro para el Fomento a la Construcción (AFC) no formarán parte de la base de retención en la fuente del contribuyente persona natural, y tendrán el carácter de rentas exentas del impuesto sobre la renta y complementarios, hasta un valor que, adicionado al valor de los aportes voluntarios a los seguros privados de pensiones y a los fondos de pensiones voluntarias de que trata el artículo 126-1 de este Estatuto, no exceda del treinta por ciento (30%) del ingreso laboral o del ingreso tributario del año, según corresponda, y hasta un monto máximo de tres mil ochocientas (3.800) UVT por año.</t>
      </text>
    </comment>
    <comment ref="F52" authorId="0" shapeId="0">
      <text>
        <t>Numeral 4 art. 206 E.T. señala que si el salario promedio de los últimos 6 meses es superior a 350 UVT deberá verificar el monto de cesantías e intereses que se podrán tratar como renta exenta.</t>
      </text>
    </comment>
    <comment ref="G63" authorId="0" shapeId="0">
      <text>
        <t xml:space="preserve">Art. 119 Dicha deducción no podrá exceder anualmente del valor equivalente a 100 UVT.
</t>
      </text>
    </comment>
    <comment ref="K63" authorId="0" shapeId="0">
      <text>
        <t xml:space="preserve">Art. 119 Dicha deducción no podrá exceder anualmente del valor equivalente a 100 UVT.
</t>
      </text>
    </comment>
    <comment ref="G64" authorId="0" shapeId="0">
      <text>
        <t xml:space="preserve">Art. 387. </t>
      </text>
    </comment>
    <comment ref="K64" authorId="0" shapeId="0">
      <text>
        <t xml:space="preserve">Art. 387. </t>
      </text>
    </comment>
    <comment ref="G65" authorId="0" shapeId="0">
      <text>
        <t>Art. 387 E.T.   Los pagos efectuados por contratos de prestación de servicios a empresas de medicina prepagada
vigiladas por la Superintendencia Nacional de Salud. Maximo 16 UVT</t>
      </text>
    </comment>
    <comment ref="K65" authorId="0" shapeId="0">
      <text>
        <t>Art. 387 E.T.   Los pagos efectuados por contratos de prestación de servicios a empresas de medicina prepagada
vigiladas por la Superintendencia Nacional de Salud. Maximo 16 UVT</t>
      </text>
    </comment>
    <comment ref="G66" authorId="0" shapeId="0">
      <text>
        <t xml:space="preserve">Art. 115 E.T. 
El gravamen a los movimientos financieros será deducible el cincuenta por ciento (50%) que haya sido efectivamente pagado
</t>
      </text>
    </comment>
    <comment ref="K66" authorId="0" shapeId="0">
      <text>
        <t xml:space="preserve">Art. 115 E.T. 
El gravamen a los movimientos financieros será deducible el cincuenta por ciento (50%) que haya sido efectivamente pagado
</t>
      </text>
    </comment>
  </commentList>
</comments>
</file>

<file path=xl/comments/comment4.xml><?xml version="1.0" encoding="utf-8"?>
<comments xmlns="http://schemas.openxmlformats.org/spreadsheetml/2006/main">
  <authors>
    <author>CESAR ANZOLA</author>
  </authors>
  <commentList>
    <comment ref="F53" authorId="0" shapeId="0">
      <text>
        <t>ARTÍCULO 126-4. INCENTIVO AL AHORRO DE LARGO PLAZO PARA EL FOMENTO DE LA CONSTRUCCIÓN. (Artículo modifi cado por el artículo 16 de la Ley 1819 de 29 de diciembre de 2016). Las sumas que los contribuyentes personas naturales depositen en las cuentas de ahorro denominadas Ahorro para el Fomento a la Construcción (AFC) no formarán parte de la base de retención en la fuente del contribuyente persona natural, y tendrán el carácter de rentas exentas del impuesto sobre la renta y complementarios, hasta un valor que, adicionado al valor de los aportes voluntarios a los seguros privados de pensiones y a los fondos de pensiones voluntarias de que trata el artículo 126-1 de este Estatuto, no exceda del treinta por ciento (30%) del ingreso laboral o del ingreso tributario del año, según corresponda, y hasta un monto máximo de tres mil ochocientas (3.800) UVT por año.</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twoCellAnchor editAs="oneCell">
    <from>
      <col>3</col>
      <colOff>56131</colOff>
      <row>0</row>
      <rowOff>1</rowOff>
    </from>
    <to>
      <col>4</col>
      <colOff>418081</colOff>
      <row>3</row>
      <rowOff>183745</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541450" y="1"/>
          <a:ext cx="1188801" cy="778212"/>
        </a:xfrm>
        <a:prstGeom xmlns:a="http://schemas.openxmlformats.org/drawingml/2006/main" prst="rect">
          <avLst/>
        </a:prstGeom>
        <a:ln xmlns:a="http://schemas.openxmlformats.org/drawingml/2006/main">
          <a:prstDash val="solid"/>
        </a:ln>
      </spPr>
    </pic>
    <clientData/>
  </twoCellAnchor>
  <twoCellAnchor editAs="oneCell">
    <from>
      <col>0</col>
      <colOff>0</colOff>
      <row>0</row>
      <rowOff>0</rowOff>
    </from>
    <to>
      <col>3</col>
      <colOff>48638</colOff>
      <row>3</row>
      <rowOff>185099</rowOff>
    </to>
    <pic>
      <nvPicPr>
        <cNvPr id="4" name="Imagen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5533957" cy="779567"/>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oneCellAnchor>
    <from>
      <col>1</col>
      <colOff>72570</colOff>
      <row>1</row>
      <rowOff>63500</rowOff>
    </from>
    <ext cx="2330687" cy="693128"/>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98070" y="635000"/>
          <a:ext cx="2330687" cy="693128"/>
        </a:xfrm>
        <a:prstGeom xmlns:a="http://schemas.openxmlformats.org/drawingml/2006/main" prst="rect">
          <avLst/>
        </a:prstGeom>
        <a:ln xmlns:a="http://schemas.openxmlformats.org/drawingml/2006/main">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https://estuexternadoedu-my.sharepoint.com/C:/OTRO%20EQUIPO/word%20y%20excel/DECLARACIONES/2019/DECLARACION%202019%20ANA/con%20este%20trabaje%202018%20FORMATO%20RENTA%20PERSONAS%20NATURALES%20%202018_.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rta x comp patr"/>
      <sheetName val="210"/>
      <sheetName val="pat bruto"/>
      <sheetName val="deudas"/>
      <sheetName val="R.trabajo"/>
      <sheetName val="R.pensiones"/>
      <sheetName val="R.capital"/>
      <sheetName val="tabl int presunt"/>
      <sheetName val="R.no laboral"/>
      <sheetName val="R divid."/>
      <sheetName val="TABLA LIMITAC CESANT "/>
      <sheetName val="renta presunt"/>
      <sheetName val="PRUEBA JENNER 2019"/>
      <sheetName val="MY B"/>
      <sheetName val="impto renta"/>
      <sheetName val="RETENCIONES A FAVOR"/>
      <sheetName val="Ing. x g.o."/>
      <sheetName val="costo x g.o."/>
      <sheetName val="g.o. exenta"/>
      <sheetName val="dtos tribut"/>
      <sheetName val="imp g.o."/>
      <sheetName val="retefuente"/>
      <sheetName val="antici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3654">
          <cell r="M3654">
            <v>276419933</v>
          </cell>
        </row>
      </sheetData>
      <sheetData sheetId="14" refreshError="1"/>
      <sheetData sheetId="15">
        <row r="43">
          <cell r="G43">
            <v>1747989.9200000002</v>
          </cell>
        </row>
      </sheetData>
      <sheetData sheetId="16" refreshError="1"/>
      <sheetData sheetId="17" refreshError="1"/>
      <sheetData sheetId="18" refreshError="1"/>
      <sheetData sheetId="19" refreshError="1"/>
      <sheetData sheetId="20"/>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B2:E20"/>
  <sheetViews>
    <sheetView showGridLines="0" workbookViewId="0">
      <selection activeCell="A1" sqref="A1"/>
    </sheetView>
  </sheetViews>
  <sheetFormatPr baseColWidth="8" defaultRowHeight="15"/>
  <cols>
    <col width="3" customWidth="1" min="1" max="1"/>
    <col width="16" customWidth="1" min="2" max="2"/>
    <col width="16" customWidth="1" min="3" max="3"/>
    <col width="16" customWidth="1" min="4" max="4"/>
    <col width="16" customWidth="1" min="5" max="5"/>
  </cols>
  <sheetData>
    <row r="2" ht="34" customHeight="1">
      <c r="B2" s="947" t="inlineStr">
        <is>
          <t xml:space="preserve">  Tributando.co</t>
        </is>
      </c>
    </row>
    <row r="3" ht="18" customHeight="1">
      <c r="B3" s="948" t="inlineStr">
        <is>
          <t xml:space="preserve">  Papeles de trabajo — Declaración de Renta · Formulario 210</t>
        </is>
      </c>
    </row>
    <row r="5" ht="22" customHeight="1">
      <c r="B5" s="949" t="inlineStr">
        <is>
          <t xml:space="preserve">  🧾  Formulario 210 (autoritativo)</t>
        </is>
      </c>
    </row>
    <row r="6" ht="22" customHeight="1">
      <c r="B6" s="949" t="inlineStr">
        <is>
          <t xml:space="preserve">  📄  Exógena 2025 — reportada por terceros</t>
        </is>
      </c>
    </row>
    <row r="7" ht="22" customHeight="1">
      <c r="B7" s="951" t="inlineStr">
        <is>
          <t xml:space="preserve">  🏠  Patrimonio bruto</t>
        </is>
      </c>
    </row>
    <row r="8" ht="22" customHeight="1">
      <c r="B8" s="949" t="inlineStr">
        <is>
          <t xml:space="preserve">  💳  Deudas</t>
        </is>
      </c>
    </row>
    <row r="9" ht="22" customHeight="1">
      <c r="B9" s="951" t="inlineStr">
        <is>
          <t xml:space="preserve">  💼  Rentas de trabajo y honorarios</t>
        </is>
      </c>
    </row>
    <row r="10" ht="22" customHeight="1">
      <c r="B10" s="949" t="inlineStr">
        <is>
          <t xml:space="preserve">  🏦  Rentas de capital</t>
        </is>
      </c>
    </row>
    <row r="11" ht="22" customHeight="1">
      <c r="B11" s="951" t="inlineStr">
        <is>
          <t xml:space="preserve">  📦  Rentas no laborales y gravables</t>
        </is>
      </c>
    </row>
    <row r="12" ht="22" customHeight="1">
      <c r="B12" s="949" t="inlineStr">
        <is>
          <t xml:space="preserve">  👴  Cédula de pensiones</t>
        </is>
      </c>
    </row>
    <row r="13" ht="22" customHeight="1">
      <c r="B13" s="951" t="inlineStr">
        <is>
          <t xml:space="preserve">  📈  Dividendos</t>
        </is>
      </c>
    </row>
    <row r="14" ht="22" customHeight="1">
      <c r="B14" s="949" t="inlineStr">
        <is>
          <t xml:space="preserve">  🎯  Ganancias ocasionales</t>
        </is>
      </c>
    </row>
    <row r="15" ht="22" customHeight="1">
      <c r="B15" s="951" t="inlineStr">
        <is>
          <t xml:space="preserve">  👨‍👩‍👧  Dependientes</t>
        </is>
      </c>
    </row>
    <row r="16" ht="22" customHeight="1">
      <c r="B16" s="949" t="inlineStr">
        <is>
          <t xml:space="preserve">  🧮  Retenciones en la fuente</t>
        </is>
      </c>
    </row>
    <row r="17" ht="22" customHeight="1">
      <c r="B17" s="951" t="inlineStr">
        <is>
          <t xml:space="preserve">  ⏭  Anticipo de renta</t>
        </is>
      </c>
    </row>
    <row r="18" ht="22" customHeight="1">
      <c r="B18" s="949" t="inlineStr">
        <is>
          <t xml:space="preserve">  🎫  Descuentos tributarios</t>
        </is>
      </c>
    </row>
    <row r="20">
      <c r="B20" s="952" t="inlineStr">
        <is>
          <t xml:space="preserve">  Clic en una sección para ir directo. Los valores en dorado itálica provienen de la entrevista/app; el resto, de la exógena DIAN.</t>
        </is>
      </c>
    </row>
  </sheetData>
  <mergeCells count="17">
    <mergeCell ref="B17:E17"/>
    <mergeCell ref="B9:E9"/>
    <mergeCell ref="B18:E18"/>
    <mergeCell ref="B8:E8"/>
    <mergeCell ref="B12:E12"/>
    <mergeCell ref="B13:E13"/>
    <mergeCell ref="B6:E6"/>
    <mergeCell ref="B16:E16"/>
    <mergeCell ref="B15:E15"/>
    <mergeCell ref="B7:E7"/>
    <mergeCell ref="B11:E11"/>
    <mergeCell ref="B3:E3"/>
    <mergeCell ref="B5:E5"/>
    <mergeCell ref="B20:E20"/>
    <mergeCell ref="B2:E2"/>
    <mergeCell ref="B10:E10"/>
    <mergeCell ref="B14:E14"/>
  </mergeCells>
  <hyperlinks>
    <hyperlink ref="B5" location="'FORMULARIO 210'!A1"/>
    <hyperlink ref="B6" location="'EXOGENA 2025'!A1"/>
    <hyperlink ref="B7" location="'Pat bruto'!A1"/>
    <hyperlink ref="B8" location="'Deudas'!A1"/>
    <hyperlink ref="B9" location="'R.trabajo y honorarios'!A1"/>
    <hyperlink ref="B10" location="'R.capital'!A1"/>
    <hyperlink ref="B11" location="'R.no laboral y R gravables'!A1"/>
    <hyperlink ref="B12" location="'C.pensiones'!A1"/>
    <hyperlink ref="B13" location="'C divid.'!A1"/>
    <hyperlink ref="B14" location="'G.OCAS'!A1"/>
    <hyperlink ref="B15" location="'Dependientes '!A1"/>
    <hyperlink ref="B16" location="'retefuente'!A1"/>
    <hyperlink ref="B17" location="'anticipo'!A1"/>
    <hyperlink ref="B18" location="'dtos tribut'!A1"/>
  </hyperlinks>
  <pageMargins left="0.75" right="0.75" top="1" bottom="1" header="0.5" footer="0.5"/>
</worksheet>
</file>

<file path=xl/worksheets/sheet2.xml><?xml version="1.0" encoding="utf-8"?>
<worksheet xmlns="http://schemas.openxmlformats.org/spreadsheetml/2006/main">
  <sheetPr>
    <tabColor theme="3"/>
    <outlinePr summaryBelow="1" summaryRight="1"/>
    <pageSetUpPr/>
  </sheetPr>
  <dimension ref="A1:N120"/>
  <sheetViews>
    <sheetView topLeftCell="A89" zoomScale="130" zoomScaleNormal="130" workbookViewId="0">
      <selection activeCell="C121" sqref="C121"/>
    </sheetView>
  </sheetViews>
  <sheetFormatPr baseColWidth="10" defaultRowHeight="15"/>
  <cols>
    <col width="19.5" customWidth="1" min="2" max="2"/>
    <col width="23.33203125" customWidth="1" min="3" max="3"/>
    <col width="25.1640625" customWidth="1" min="5" max="5"/>
    <col width="26.83203125" customWidth="1" min="8" max="8"/>
    <col width="25.83203125" customWidth="1" min="11" max="11"/>
    <col width="24" customWidth="1" min="14" max="14"/>
  </cols>
  <sheetData>
    <row r="1" ht="16" customHeight="1">
      <c r="A1" s="450" t="inlineStr">
        <is>
          <t>DECLARACIÓN DE RENTA Y COMPLEMENTARIOS</t>
        </is>
      </c>
      <c r="I1" s="374" t="n"/>
      <c r="J1" s="374" t="n"/>
      <c r="K1" s="374" t="n"/>
      <c r="L1" s="374" t="n"/>
      <c r="M1" s="374" t="n"/>
      <c r="N1" s="374" t="n"/>
    </row>
    <row r="2" ht="16" customHeight="1">
      <c r="A2" s="374" t="n"/>
      <c r="B2" s="374" t="n"/>
      <c r="C2" s="374" t="n"/>
      <c r="D2" s="374" t="n"/>
      <c r="E2" s="374" t="n"/>
      <c r="F2" s="374" t="n"/>
      <c r="G2" s="374" t="n"/>
      <c r="H2" s="374" t="n"/>
      <c r="I2" s="374" t="n"/>
      <c r="J2" s="374" t="n"/>
      <c r="K2" s="374" t="n"/>
      <c r="L2" s="374" t="n"/>
      <c r="M2" s="374" t="n"/>
      <c r="N2" s="374" t="n"/>
    </row>
    <row r="3" ht="16" customHeight="1">
      <c r="A3" s="375" t="inlineStr">
        <is>
          <t>Personas naturales y sucesiones ilíquidas</t>
        </is>
      </c>
      <c r="B3" s="374" t="n"/>
      <c r="C3" s="374" t="n"/>
      <c r="D3" s="374" t="n"/>
      <c r="E3" s="374" t="n"/>
      <c r="F3" s="374" t="n"/>
      <c r="G3" s="374" t="n"/>
      <c r="H3" s="374" t="n"/>
      <c r="I3" s="374" t="n"/>
      <c r="J3" s="374" t="n"/>
      <c r="K3" s="374" t="n"/>
      <c r="L3" s="374" t="n"/>
      <c r="M3" s="374" t="n"/>
      <c r="N3" s="374" t="n"/>
    </row>
    <row r="4" ht="16" customHeight="1">
      <c r="A4" s="374" t="n"/>
      <c r="B4" s="374" t="n"/>
      <c r="C4" s="374" t="n"/>
      <c r="D4" s="374" t="n"/>
      <c r="E4" s="374" t="n"/>
      <c r="F4" s="374" t="n"/>
      <c r="G4" s="374" t="n"/>
      <c r="H4" s="374" t="n"/>
      <c r="I4" s="374" t="n"/>
      <c r="J4" s="374" t="n"/>
      <c r="K4" s="374" t="n"/>
      <c r="L4" s="374" t="n"/>
      <c r="M4" s="374" t="n"/>
      <c r="N4" s="374" t="n"/>
    </row>
    <row r="5" ht="16" customHeight="1">
      <c r="A5" s="451" t="inlineStr">
        <is>
          <t>Declaración y pago</t>
        </is>
      </c>
      <c r="C5" s="376" t="n"/>
      <c r="D5" s="452" t="n"/>
      <c r="F5" s="376" t="n"/>
      <c r="G5" s="377" t="n"/>
      <c r="H5" s="377" t="n"/>
      <c r="I5" s="374" t="n"/>
      <c r="J5" s="374" t="n"/>
      <c r="K5" s="374" t="n"/>
      <c r="L5" s="374" t="n"/>
      <c r="M5" s="374" t="n"/>
      <c r="N5" s="374" t="n"/>
    </row>
    <row r="6" ht="16" customHeight="1">
      <c r="A6" s="374" t="n"/>
      <c r="B6" s="374" t="n"/>
      <c r="C6" s="374" t="n"/>
      <c r="D6" s="378" t="n"/>
      <c r="E6" s="378" t="n"/>
      <c r="F6" s="374" t="n"/>
      <c r="G6" s="374" t="n"/>
      <c r="H6" s="374" t="n"/>
      <c r="I6" s="374" t="n"/>
      <c r="J6" s="374" t="n"/>
      <c r="K6" s="374" t="n"/>
      <c r="L6" s="374" t="n"/>
      <c r="M6" s="374" t="n"/>
      <c r="N6" s="374" t="n"/>
    </row>
    <row r="7" ht="45" customHeight="1">
      <c r="A7" s="379" t="inlineStr">
        <is>
          <t>Últimos 2 dígito del NIT</t>
        </is>
      </c>
      <c r="B7" s="380" t="inlineStr">
        <is>
          <t>Fecha límite</t>
        </is>
      </c>
      <c r="C7" s="381" t="n"/>
      <c r="D7" s="379" t="inlineStr">
        <is>
          <t>Últimos 2 dígito del NIT</t>
        </is>
      </c>
      <c r="E7" s="380" t="inlineStr">
        <is>
          <t>Fecha límite</t>
        </is>
      </c>
      <c r="F7" s="381" t="n"/>
      <c r="G7" s="379" t="inlineStr">
        <is>
          <t>Últimos 2 dígito del NIT</t>
        </is>
      </c>
      <c r="H7" s="380" t="inlineStr">
        <is>
          <t>Fecha límite</t>
        </is>
      </c>
      <c r="I7" s="381" t="n"/>
      <c r="J7" s="379" t="inlineStr">
        <is>
          <t>Últimos 2 dígito del NIT</t>
        </is>
      </c>
      <c r="K7" s="380" t="inlineStr">
        <is>
          <t>Fecha límite</t>
        </is>
      </c>
      <c r="L7" s="381" t="n"/>
      <c r="M7" s="379" t="inlineStr">
        <is>
          <t>Últimos 2 dígito del NIT</t>
        </is>
      </c>
      <c r="N7" s="380" t="inlineStr">
        <is>
          <t>Fecha límite</t>
        </is>
      </c>
    </row>
    <row r="8">
      <c r="A8" s="382" t="inlineStr">
        <is>
          <t xml:space="preserve"> 01 Y 02</t>
        </is>
      </c>
      <c r="B8" s="953" t="n">
        <v>46246</v>
      </c>
      <c r="C8" s="381" t="n"/>
      <c r="D8" s="382" t="inlineStr">
        <is>
          <t>21 Y 22</t>
        </is>
      </c>
      <c r="E8" s="953" t="n">
        <v>46261</v>
      </c>
      <c r="F8" s="381" t="n"/>
      <c r="G8" s="382" t="inlineStr">
        <is>
          <t>41 Y 42</t>
        </is>
      </c>
      <c r="H8" s="953" t="n">
        <v>46275</v>
      </c>
      <c r="I8" s="381" t="n"/>
      <c r="J8" s="384" t="inlineStr">
        <is>
          <t>61 Y 62</t>
        </is>
      </c>
      <c r="K8" s="953" t="n">
        <v>46289</v>
      </c>
      <c r="L8" s="381" t="n"/>
      <c r="M8" s="384" t="inlineStr">
        <is>
          <t>81 Y 82</t>
        </is>
      </c>
      <c r="N8" s="953" t="n">
        <v>46308</v>
      </c>
    </row>
    <row r="9">
      <c r="A9" s="384" t="inlineStr">
        <is>
          <t xml:space="preserve"> 03 Y 04</t>
        </is>
      </c>
      <c r="B9" s="953" t="n">
        <v>46247</v>
      </c>
      <c r="C9" s="381" t="n"/>
      <c r="D9" s="382" t="inlineStr">
        <is>
          <t>23 Y 24</t>
        </is>
      </c>
      <c r="E9" s="953" t="n">
        <v>46262</v>
      </c>
      <c r="F9" s="381" t="n"/>
      <c r="G9" s="382" t="inlineStr">
        <is>
          <t>43 Y 44</t>
        </is>
      </c>
      <c r="H9" s="953" t="n">
        <v>46276</v>
      </c>
      <c r="I9" s="381" t="n"/>
      <c r="J9" s="384" t="inlineStr">
        <is>
          <t>63 Y 64</t>
        </is>
      </c>
      <c r="K9" s="953" t="n">
        <v>45925</v>
      </c>
      <c r="L9" s="381" t="n"/>
      <c r="M9" s="384" t="inlineStr">
        <is>
          <t>83 Y 84</t>
        </is>
      </c>
      <c r="N9" s="953" t="n">
        <v>46309</v>
      </c>
    </row>
    <row r="10">
      <c r="A10" s="382" t="inlineStr">
        <is>
          <t xml:space="preserve"> 05 Y 06</t>
        </is>
      </c>
      <c r="B10" s="953" t="n">
        <v>46248</v>
      </c>
      <c r="C10" s="381" t="n"/>
      <c r="D10" s="382" t="inlineStr">
        <is>
          <t>25 Y 26</t>
        </is>
      </c>
      <c r="E10" s="953" t="n">
        <v>46265</v>
      </c>
      <c r="F10" s="381" t="n"/>
      <c r="G10" s="382" t="inlineStr">
        <is>
          <t>45 Y 46</t>
        </is>
      </c>
      <c r="H10" s="953" t="n">
        <v>46279</v>
      </c>
      <c r="I10" s="381" t="n"/>
      <c r="J10" s="384" t="inlineStr">
        <is>
          <t>65 Y 66</t>
        </is>
      </c>
      <c r="K10" s="953" t="n">
        <v>46293</v>
      </c>
      <c r="L10" s="381" t="n"/>
      <c r="M10" s="384" t="inlineStr">
        <is>
          <t>85 Y 86</t>
        </is>
      </c>
      <c r="N10" s="953" t="n">
        <v>46310</v>
      </c>
    </row>
    <row r="11">
      <c r="A11" s="382" t="inlineStr">
        <is>
          <t xml:space="preserve"> 07 Y 08</t>
        </is>
      </c>
      <c r="B11" s="953" t="n">
        <v>46252</v>
      </c>
      <c r="C11" s="381" t="n"/>
      <c r="D11" s="382" t="inlineStr">
        <is>
          <t>27 Y 28</t>
        </is>
      </c>
      <c r="E11" s="953" t="n">
        <v>46266</v>
      </c>
      <c r="F11" s="381" t="n"/>
      <c r="G11" s="382" t="inlineStr">
        <is>
          <t>47 Y 48</t>
        </is>
      </c>
      <c r="H11" s="953" t="n">
        <v>46280</v>
      </c>
      <c r="I11" s="381" t="n"/>
      <c r="J11" s="384" t="inlineStr">
        <is>
          <t>67 Y 68</t>
        </is>
      </c>
      <c r="K11" s="953" t="n">
        <v>46296</v>
      </c>
      <c r="L11" s="381" t="n"/>
      <c r="M11" s="384" t="inlineStr">
        <is>
          <t>87 Y 88</t>
        </is>
      </c>
      <c r="N11" s="953" t="n">
        <v>46311</v>
      </c>
    </row>
    <row r="12">
      <c r="A12" s="382" t="inlineStr">
        <is>
          <t xml:space="preserve"> 09 Y 10</t>
        </is>
      </c>
      <c r="B12" s="953" t="n">
        <v>46253</v>
      </c>
      <c r="C12" s="381" t="n"/>
      <c r="D12" s="382" t="inlineStr">
        <is>
          <t>29 Y 30</t>
        </is>
      </c>
      <c r="E12" s="953" t="n">
        <v>46267</v>
      </c>
      <c r="F12" s="381" t="n"/>
      <c r="G12" s="382" t="inlineStr">
        <is>
          <t>49 Y 50</t>
        </is>
      </c>
      <c r="H12" s="953" t="n">
        <v>46281</v>
      </c>
      <c r="I12" s="381" t="n"/>
      <c r="J12" s="384" t="inlineStr">
        <is>
          <t>69 Y 70</t>
        </is>
      </c>
      <c r="K12" s="953" t="n">
        <v>46297</v>
      </c>
      <c r="L12" s="381" t="n"/>
      <c r="M12" s="384" t="inlineStr">
        <is>
          <t>89 Y 90</t>
        </is>
      </c>
      <c r="N12" s="953" t="n">
        <v>46314</v>
      </c>
    </row>
    <row r="13">
      <c r="A13" s="382" t="inlineStr">
        <is>
          <t xml:space="preserve"> 11 Y 12</t>
        </is>
      </c>
      <c r="B13" s="953" t="n">
        <v>46254</v>
      </c>
      <c r="C13" s="381" t="n"/>
      <c r="D13" s="382" t="inlineStr">
        <is>
          <t>31 Y 32</t>
        </is>
      </c>
      <c r="E13" s="953" t="n">
        <v>46268</v>
      </c>
      <c r="F13" s="381" t="n"/>
      <c r="G13" s="382" t="inlineStr">
        <is>
          <t>51 Y 52</t>
        </is>
      </c>
      <c r="H13" s="953" t="n">
        <v>46282</v>
      </c>
      <c r="I13" s="381" t="n"/>
      <c r="J13" s="384" t="inlineStr">
        <is>
          <t>71 Y 72</t>
        </is>
      </c>
      <c r="K13" s="953" t="n">
        <v>46300</v>
      </c>
      <c r="L13" s="381" t="n"/>
      <c r="M13" s="384" t="inlineStr">
        <is>
          <t>91 Y 92</t>
        </is>
      </c>
      <c r="N13" s="953" t="n">
        <v>46315</v>
      </c>
    </row>
    <row r="14">
      <c r="A14" s="382" t="inlineStr">
        <is>
          <t>13 Y 14</t>
        </is>
      </c>
      <c r="B14" s="953" t="n">
        <v>46255</v>
      </c>
      <c r="C14" s="381" t="n"/>
      <c r="D14" s="382" t="inlineStr">
        <is>
          <t>33 Y 34</t>
        </is>
      </c>
      <c r="E14" s="953" t="n">
        <v>46269</v>
      </c>
      <c r="F14" s="381" t="n"/>
      <c r="G14" s="382" t="inlineStr">
        <is>
          <t>53 Y 54</t>
        </is>
      </c>
      <c r="H14" s="953" t="n">
        <v>46283</v>
      </c>
      <c r="I14" s="381" t="n"/>
      <c r="J14" s="384" t="inlineStr">
        <is>
          <t>73 Y 74</t>
        </is>
      </c>
      <c r="K14" s="953" t="n">
        <v>46301</v>
      </c>
      <c r="L14" s="381" t="n"/>
      <c r="M14" s="384" t="inlineStr">
        <is>
          <t>93 Y 94</t>
        </is>
      </c>
      <c r="N14" s="953" t="n">
        <v>46316</v>
      </c>
    </row>
    <row r="15">
      <c r="A15" s="382" t="inlineStr">
        <is>
          <t>15 Y 16</t>
        </is>
      </c>
      <c r="B15" s="953" t="n">
        <v>46258</v>
      </c>
      <c r="C15" s="381" t="n"/>
      <c r="D15" s="382" t="inlineStr">
        <is>
          <t>35 Y 36</t>
        </is>
      </c>
      <c r="E15" s="953" t="n">
        <v>46272</v>
      </c>
      <c r="F15" s="381" t="n"/>
      <c r="G15" s="382" t="inlineStr">
        <is>
          <t>55 Y 56</t>
        </is>
      </c>
      <c r="H15" s="953" t="n">
        <v>46286</v>
      </c>
      <c r="I15" s="381" t="n"/>
      <c r="J15" s="384" t="inlineStr">
        <is>
          <t>75 Y 76</t>
        </is>
      </c>
      <c r="K15" s="953" t="n">
        <v>46302</v>
      </c>
      <c r="L15" s="381" t="n"/>
      <c r="M15" s="384" t="inlineStr">
        <is>
          <t>95 Y 96</t>
        </is>
      </c>
      <c r="N15" s="953" t="n">
        <v>46317</v>
      </c>
    </row>
    <row r="16">
      <c r="A16" s="382" t="inlineStr">
        <is>
          <t>17 Y 18</t>
        </is>
      </c>
      <c r="B16" s="953" t="n">
        <v>46259</v>
      </c>
      <c r="C16" s="381" t="n"/>
      <c r="D16" s="382" t="inlineStr">
        <is>
          <t>37 Y 38</t>
        </is>
      </c>
      <c r="E16" s="953" t="n">
        <v>46273</v>
      </c>
      <c r="F16" s="381" t="n"/>
      <c r="G16" s="382" t="inlineStr">
        <is>
          <t>57 Y 58</t>
        </is>
      </c>
      <c r="H16" s="953" t="n">
        <v>46287</v>
      </c>
      <c r="I16" s="381" t="n"/>
      <c r="J16" s="384" t="inlineStr">
        <is>
          <t>77 Y 78</t>
        </is>
      </c>
      <c r="K16" s="953" t="n">
        <v>46303</v>
      </c>
      <c r="L16" s="381" t="n"/>
      <c r="M16" s="384" t="inlineStr">
        <is>
          <t>97 Y 98</t>
        </is>
      </c>
      <c r="N16" s="953" t="n">
        <v>46318</v>
      </c>
    </row>
    <row r="17">
      <c r="A17" s="382" t="inlineStr">
        <is>
          <t>19 Y 20</t>
        </is>
      </c>
      <c r="B17" s="953" t="n">
        <v>46260</v>
      </c>
      <c r="C17" s="381" t="n"/>
      <c r="D17" s="382" t="inlineStr">
        <is>
          <t>39 Y 40</t>
        </is>
      </c>
      <c r="E17" s="953" t="n">
        <v>46274</v>
      </c>
      <c r="F17" s="381" t="n"/>
      <c r="G17" s="382" t="inlineStr">
        <is>
          <t>59 Y 60</t>
        </is>
      </c>
      <c r="H17" s="953" t="n">
        <v>46288</v>
      </c>
      <c r="I17" s="381" t="n"/>
      <c r="J17" s="384" t="inlineStr">
        <is>
          <t>79 Y 80</t>
        </is>
      </c>
      <c r="K17" s="953" t="n">
        <v>46304</v>
      </c>
      <c r="L17" s="381" t="n"/>
      <c r="M17" s="384" t="inlineStr">
        <is>
          <t>99 Y 00</t>
        </is>
      </c>
      <c r="N17" s="953" t="n">
        <v>46321</v>
      </c>
    </row>
    <row r="18" ht="16" customHeight="1">
      <c r="A18" s="385" t="n"/>
      <c r="B18" s="954" t="n"/>
      <c r="C18" s="374" t="n"/>
      <c r="D18" s="387" t="n"/>
      <c r="E18" s="387" t="n"/>
      <c r="F18" s="387" t="n"/>
      <c r="G18" s="387" t="n"/>
      <c r="H18" s="954" t="n"/>
      <c r="I18" s="374" t="n"/>
      <c r="J18" s="374" t="n"/>
      <c r="K18" s="374" t="n"/>
      <c r="L18" s="374" t="n"/>
      <c r="M18" s="374" t="n"/>
      <c r="N18" s="374" t="n"/>
    </row>
    <row r="21">
      <c r="B21" s="389" t="inlineStr">
        <is>
          <t>01</t>
        </is>
      </c>
      <c r="C21" s="1149" t="n">
        <v>46246</v>
      </c>
    </row>
    <row r="22">
      <c r="B22" s="389" t="inlineStr">
        <is>
          <t>02</t>
        </is>
      </c>
      <c r="C22" s="1149" t="n">
        <v>46246</v>
      </c>
    </row>
    <row r="23">
      <c r="B23" s="389" t="inlineStr">
        <is>
          <t>03</t>
        </is>
      </c>
      <c r="C23" s="1149" t="n">
        <v>46247</v>
      </c>
    </row>
    <row r="24">
      <c r="B24" s="389" t="inlineStr">
        <is>
          <t>04</t>
        </is>
      </c>
      <c r="C24" s="1149" t="n">
        <v>46247</v>
      </c>
    </row>
    <row r="25">
      <c r="B25" s="389" t="inlineStr">
        <is>
          <t>05</t>
        </is>
      </c>
      <c r="C25" s="1149" t="n">
        <v>46248</v>
      </c>
    </row>
    <row r="26">
      <c r="B26" s="389" t="inlineStr">
        <is>
          <t>06</t>
        </is>
      </c>
      <c r="C26" s="1149" t="n">
        <v>46248</v>
      </c>
    </row>
    <row r="27">
      <c r="B27" s="389" t="inlineStr">
        <is>
          <t>07</t>
        </is>
      </c>
      <c r="C27" s="1149" t="n">
        <v>46252</v>
      </c>
    </row>
    <row r="28">
      <c r="B28" s="389" t="inlineStr">
        <is>
          <t>08</t>
        </is>
      </c>
      <c r="C28" s="1149" t="n">
        <v>46252</v>
      </c>
    </row>
    <row r="29">
      <c r="B29" s="389" t="inlineStr">
        <is>
          <t>09</t>
        </is>
      </c>
      <c r="C29" s="1149" t="n">
        <v>46253</v>
      </c>
    </row>
    <row r="30">
      <c r="B30" s="389" t="inlineStr">
        <is>
          <t>10</t>
        </is>
      </c>
      <c r="C30" s="1149" t="n">
        <v>46253</v>
      </c>
    </row>
    <row r="31">
      <c r="B31" s="389" t="inlineStr">
        <is>
          <t>11</t>
        </is>
      </c>
      <c r="C31" s="1149" t="n">
        <v>46254</v>
      </c>
    </row>
    <row r="32">
      <c r="B32" s="389" t="inlineStr">
        <is>
          <t>12</t>
        </is>
      </c>
      <c r="C32" s="1149" t="n">
        <v>46254</v>
      </c>
    </row>
    <row r="33">
      <c r="B33" s="389" t="inlineStr">
        <is>
          <t>13</t>
        </is>
      </c>
      <c r="C33" s="1149" t="n">
        <v>46255</v>
      </c>
    </row>
    <row r="34">
      <c r="B34" s="389" t="inlineStr">
        <is>
          <t>14</t>
        </is>
      </c>
      <c r="C34" s="1149" t="n">
        <v>46255</v>
      </c>
    </row>
    <row r="35">
      <c r="B35" s="389" t="inlineStr">
        <is>
          <t>15</t>
        </is>
      </c>
      <c r="C35" s="1149" t="n">
        <v>46258</v>
      </c>
    </row>
    <row r="36">
      <c r="B36" s="389" t="inlineStr">
        <is>
          <t>16</t>
        </is>
      </c>
      <c r="C36" s="1149" t="n">
        <v>46258</v>
      </c>
    </row>
    <row r="37">
      <c r="B37" s="389" t="inlineStr">
        <is>
          <t>17</t>
        </is>
      </c>
      <c r="C37" s="1149" t="n">
        <v>46259</v>
      </c>
    </row>
    <row r="38">
      <c r="B38" s="389" t="inlineStr">
        <is>
          <t>18</t>
        </is>
      </c>
      <c r="C38" s="1149" t="n">
        <v>46259</v>
      </c>
    </row>
    <row r="39">
      <c r="B39" s="389" t="inlineStr">
        <is>
          <t>19</t>
        </is>
      </c>
      <c r="C39" s="1149" t="n">
        <v>46260</v>
      </c>
    </row>
    <row r="40">
      <c r="B40" s="389" t="inlineStr">
        <is>
          <t>20</t>
        </is>
      </c>
      <c r="C40" s="1149" t="n">
        <v>46260</v>
      </c>
    </row>
    <row r="41">
      <c r="B41" s="389" t="inlineStr">
        <is>
          <t>21</t>
        </is>
      </c>
      <c r="C41" s="1149" t="n">
        <v>46261</v>
      </c>
    </row>
    <row r="42">
      <c r="B42" s="389" t="inlineStr">
        <is>
          <t>22</t>
        </is>
      </c>
      <c r="C42" s="1149" t="n">
        <v>46261</v>
      </c>
    </row>
    <row r="43">
      <c r="B43" s="389" t="inlineStr">
        <is>
          <t>23</t>
        </is>
      </c>
      <c r="C43" s="1149" t="n">
        <v>46262</v>
      </c>
    </row>
    <row r="44">
      <c r="B44" s="389" t="inlineStr">
        <is>
          <t>24</t>
        </is>
      </c>
      <c r="C44" s="1149" t="n">
        <v>46262</v>
      </c>
    </row>
    <row r="45">
      <c r="B45" s="389" t="inlineStr">
        <is>
          <t>25</t>
        </is>
      </c>
      <c r="C45" s="1149" t="n">
        <v>46265</v>
      </c>
    </row>
    <row r="46">
      <c r="B46" s="389" t="inlineStr">
        <is>
          <t>26</t>
        </is>
      </c>
      <c r="C46" s="1149" t="n">
        <v>46265</v>
      </c>
    </row>
    <row r="47">
      <c r="B47" s="389" t="inlineStr">
        <is>
          <t>27</t>
        </is>
      </c>
      <c r="C47" s="1149" t="n">
        <v>46266</v>
      </c>
    </row>
    <row r="48">
      <c r="B48" s="389" t="inlineStr">
        <is>
          <t>28</t>
        </is>
      </c>
      <c r="C48" s="1149" t="n">
        <v>46266</v>
      </c>
    </row>
    <row r="49">
      <c r="B49" s="389" t="inlineStr">
        <is>
          <t>29</t>
        </is>
      </c>
      <c r="C49" s="1149" t="n">
        <v>46267</v>
      </c>
    </row>
    <row r="50">
      <c r="B50" s="389" t="inlineStr">
        <is>
          <t>30</t>
        </is>
      </c>
      <c r="C50" s="1149" t="n">
        <v>46267</v>
      </c>
    </row>
    <row r="51">
      <c r="B51" s="389" t="inlineStr">
        <is>
          <t>31</t>
        </is>
      </c>
      <c r="C51" s="1149" t="n">
        <v>46268</v>
      </c>
    </row>
    <row r="52">
      <c r="B52" s="389" t="inlineStr">
        <is>
          <t>32</t>
        </is>
      </c>
      <c r="C52" s="1149" t="n">
        <v>46268</v>
      </c>
    </row>
    <row r="53">
      <c r="B53" s="389" t="inlineStr">
        <is>
          <t>33</t>
        </is>
      </c>
      <c r="C53" s="1149" t="n">
        <v>46269</v>
      </c>
    </row>
    <row r="54">
      <c r="B54" s="389" t="inlineStr">
        <is>
          <t>34</t>
        </is>
      </c>
      <c r="C54" s="1149" t="n">
        <v>46269</v>
      </c>
    </row>
    <row r="55">
      <c r="B55" s="389" t="inlineStr">
        <is>
          <t>35</t>
        </is>
      </c>
      <c r="C55" s="1149" t="n">
        <v>46272</v>
      </c>
    </row>
    <row r="56">
      <c r="B56" s="389" t="inlineStr">
        <is>
          <t>36</t>
        </is>
      </c>
      <c r="C56" s="1149" t="n">
        <v>46272</v>
      </c>
    </row>
    <row r="57">
      <c r="B57" s="389" t="inlineStr">
        <is>
          <t>37</t>
        </is>
      </c>
      <c r="C57" s="1149" t="n">
        <v>46273</v>
      </c>
    </row>
    <row r="58">
      <c r="B58" s="389" t="inlineStr">
        <is>
          <t>38</t>
        </is>
      </c>
      <c r="C58" s="1149" t="n">
        <v>46273</v>
      </c>
    </row>
    <row r="59">
      <c r="B59" s="389" t="inlineStr">
        <is>
          <t>39</t>
        </is>
      </c>
      <c r="C59" s="1149" t="n">
        <v>46274</v>
      </c>
    </row>
    <row r="60">
      <c r="B60" s="389" t="inlineStr">
        <is>
          <t>40</t>
        </is>
      </c>
      <c r="C60" s="1149" t="n">
        <v>46274</v>
      </c>
    </row>
    <row r="61">
      <c r="B61" s="389" t="inlineStr">
        <is>
          <t>41</t>
        </is>
      </c>
      <c r="C61" s="1149" t="n">
        <v>46275</v>
      </c>
    </row>
    <row r="62">
      <c r="B62" s="389" t="inlineStr">
        <is>
          <t>42</t>
        </is>
      </c>
      <c r="C62" s="1149" t="n">
        <v>46275</v>
      </c>
    </row>
    <row r="63">
      <c r="B63" s="389" t="inlineStr">
        <is>
          <t>43</t>
        </is>
      </c>
      <c r="C63" s="1149" t="n">
        <v>46276</v>
      </c>
    </row>
    <row r="64">
      <c r="B64" s="389" t="inlineStr">
        <is>
          <t>44</t>
        </is>
      </c>
      <c r="C64" s="1149" t="n">
        <v>46276</v>
      </c>
    </row>
    <row r="65">
      <c r="B65" s="389" t="inlineStr">
        <is>
          <t>45</t>
        </is>
      </c>
      <c r="C65" s="1149" t="n">
        <v>46279</v>
      </c>
    </row>
    <row r="66">
      <c r="B66" s="389" t="inlineStr">
        <is>
          <t>46</t>
        </is>
      </c>
      <c r="C66" s="1149" t="n">
        <v>46279</v>
      </c>
    </row>
    <row r="67">
      <c r="B67" s="389" t="inlineStr">
        <is>
          <t>47</t>
        </is>
      </c>
      <c r="C67" s="1149" t="n">
        <v>46280</v>
      </c>
    </row>
    <row r="68">
      <c r="B68" s="389" t="inlineStr">
        <is>
          <t>48</t>
        </is>
      </c>
      <c r="C68" s="1149" t="n">
        <v>46280</v>
      </c>
    </row>
    <row r="69">
      <c r="B69" s="389" t="inlineStr">
        <is>
          <t>49</t>
        </is>
      </c>
      <c r="C69" s="1149" t="n">
        <v>46281</v>
      </c>
    </row>
    <row r="70">
      <c r="B70" s="389" t="inlineStr">
        <is>
          <t>50</t>
        </is>
      </c>
      <c r="C70" s="1149" t="n">
        <v>46281</v>
      </c>
    </row>
    <row r="71">
      <c r="B71" s="389" t="inlineStr">
        <is>
          <t>51</t>
        </is>
      </c>
      <c r="C71" s="1149" t="n">
        <v>46282</v>
      </c>
    </row>
    <row r="72">
      <c r="B72" s="389" t="inlineStr">
        <is>
          <t>52</t>
        </is>
      </c>
      <c r="C72" s="1149" t="n">
        <v>46282</v>
      </c>
    </row>
    <row r="73">
      <c r="B73" s="389" t="inlineStr">
        <is>
          <t>53</t>
        </is>
      </c>
      <c r="C73" s="1149" t="n">
        <v>46283</v>
      </c>
    </row>
    <row r="74">
      <c r="B74" s="389" t="inlineStr">
        <is>
          <t>54</t>
        </is>
      </c>
      <c r="C74" s="1149" t="n">
        <v>46283</v>
      </c>
    </row>
    <row r="75">
      <c r="B75" s="389" t="inlineStr">
        <is>
          <t>55</t>
        </is>
      </c>
      <c r="C75" s="1149" t="n">
        <v>46286</v>
      </c>
    </row>
    <row r="76">
      <c r="B76" s="389" t="inlineStr">
        <is>
          <t>56</t>
        </is>
      </c>
      <c r="C76" s="1149" t="n">
        <v>46286</v>
      </c>
    </row>
    <row r="77">
      <c r="B77" s="389" t="inlineStr">
        <is>
          <t>57</t>
        </is>
      </c>
      <c r="C77" s="1149" t="n">
        <v>46287</v>
      </c>
    </row>
    <row r="78">
      <c r="B78" s="389" t="inlineStr">
        <is>
          <t>58</t>
        </is>
      </c>
      <c r="C78" s="1149" t="n">
        <v>46287</v>
      </c>
    </row>
    <row r="79">
      <c r="B79" s="389" t="inlineStr">
        <is>
          <t>59</t>
        </is>
      </c>
      <c r="C79" s="1149" t="n">
        <v>46288</v>
      </c>
    </row>
    <row r="80">
      <c r="B80" s="389" t="inlineStr">
        <is>
          <t>60</t>
        </is>
      </c>
      <c r="C80" s="1150" t="n">
        <v>46288</v>
      </c>
    </row>
    <row r="81">
      <c r="B81" s="389" t="inlineStr">
        <is>
          <t>61</t>
        </is>
      </c>
      <c r="C81" s="1149" t="n">
        <v>46289</v>
      </c>
    </row>
    <row r="82">
      <c r="B82" s="389" t="inlineStr">
        <is>
          <t>62</t>
        </is>
      </c>
      <c r="C82" s="1149" t="n">
        <v>46289</v>
      </c>
    </row>
    <row r="83">
      <c r="B83" s="389" t="inlineStr">
        <is>
          <t>63</t>
        </is>
      </c>
      <c r="C83" s="1149" t="n">
        <v>46290</v>
      </c>
    </row>
    <row r="84">
      <c r="B84" s="389" t="inlineStr">
        <is>
          <t>64</t>
        </is>
      </c>
      <c r="C84" s="1149" t="n">
        <v>46290</v>
      </c>
    </row>
    <row r="85">
      <c r="B85" s="389" t="inlineStr">
        <is>
          <t>65</t>
        </is>
      </c>
      <c r="C85" s="1149" t="n">
        <v>46293</v>
      </c>
    </row>
    <row r="86">
      <c r="B86" s="389" t="inlineStr">
        <is>
          <t>66</t>
        </is>
      </c>
      <c r="C86" s="1149" t="n">
        <v>46293</v>
      </c>
    </row>
    <row r="87">
      <c r="B87" s="389" t="inlineStr">
        <is>
          <t>67</t>
        </is>
      </c>
      <c r="C87" s="1149" t="n">
        <v>46296</v>
      </c>
    </row>
    <row r="88">
      <c r="B88" s="389" t="inlineStr">
        <is>
          <t>68</t>
        </is>
      </c>
      <c r="C88" s="1149" t="n">
        <v>46296</v>
      </c>
    </row>
    <row r="89">
      <c r="B89" s="389" t="inlineStr">
        <is>
          <t>69</t>
        </is>
      </c>
      <c r="C89" s="1149" t="n">
        <v>46297</v>
      </c>
    </row>
    <row r="90">
      <c r="B90" s="389" t="inlineStr">
        <is>
          <t>70</t>
        </is>
      </c>
      <c r="C90" s="1149" t="n">
        <v>46297</v>
      </c>
    </row>
    <row r="91">
      <c r="B91" s="389" t="inlineStr">
        <is>
          <t>71</t>
        </is>
      </c>
      <c r="C91" s="1149" t="n">
        <v>46300</v>
      </c>
    </row>
    <row r="92">
      <c r="B92" s="389" t="inlineStr">
        <is>
          <t>72</t>
        </is>
      </c>
      <c r="C92" s="1149" t="n">
        <v>46300</v>
      </c>
    </row>
    <row r="93">
      <c r="B93" s="389" t="inlineStr">
        <is>
          <t>73</t>
        </is>
      </c>
      <c r="C93" s="1149" t="n">
        <v>46301</v>
      </c>
    </row>
    <row r="94">
      <c r="B94" s="389" t="inlineStr">
        <is>
          <t>74</t>
        </is>
      </c>
      <c r="C94" s="1149" t="n">
        <v>46301</v>
      </c>
    </row>
    <row r="95">
      <c r="B95" s="389" t="inlineStr">
        <is>
          <t>75</t>
        </is>
      </c>
      <c r="C95" s="1149" t="n">
        <v>46302</v>
      </c>
    </row>
    <row r="96">
      <c r="B96" s="389" t="inlineStr">
        <is>
          <t>76</t>
        </is>
      </c>
      <c r="C96" s="1149" t="n">
        <v>46302</v>
      </c>
    </row>
    <row r="97">
      <c r="B97" s="389" t="inlineStr">
        <is>
          <t>77</t>
        </is>
      </c>
      <c r="C97" s="1149" t="n">
        <v>46303</v>
      </c>
    </row>
    <row r="98">
      <c r="B98" s="389" t="inlineStr">
        <is>
          <t>78</t>
        </is>
      </c>
      <c r="C98" s="1149" t="n">
        <v>46303</v>
      </c>
    </row>
    <row r="99">
      <c r="B99" s="389" t="inlineStr">
        <is>
          <t>79</t>
        </is>
      </c>
      <c r="C99" s="1149" t="n">
        <v>46304</v>
      </c>
    </row>
    <row r="100">
      <c r="B100" s="389" t="inlineStr">
        <is>
          <t>80</t>
        </is>
      </c>
      <c r="C100" s="1149" t="n">
        <v>46304</v>
      </c>
    </row>
    <row r="101">
      <c r="B101" s="389" t="inlineStr">
        <is>
          <t>81</t>
        </is>
      </c>
      <c r="C101" s="1149" t="n">
        <v>46308</v>
      </c>
    </row>
    <row r="102">
      <c r="B102" s="389" t="inlineStr">
        <is>
          <t>82</t>
        </is>
      </c>
      <c r="C102" s="1149" t="n">
        <v>46308</v>
      </c>
    </row>
    <row r="103">
      <c r="B103" s="389" t="inlineStr">
        <is>
          <t>83</t>
        </is>
      </c>
      <c r="C103" s="1149" t="n">
        <v>46309</v>
      </c>
    </row>
    <row r="104">
      <c r="B104" s="389" t="inlineStr">
        <is>
          <t>84</t>
        </is>
      </c>
      <c r="C104" s="1149" t="n">
        <v>46309</v>
      </c>
    </row>
    <row r="105">
      <c r="B105" s="389" t="inlineStr">
        <is>
          <t>85</t>
        </is>
      </c>
      <c r="C105" s="1149" t="n">
        <v>46310</v>
      </c>
    </row>
    <row r="106">
      <c r="B106" s="389" t="inlineStr">
        <is>
          <t>86</t>
        </is>
      </c>
      <c r="C106" s="1149" t="n">
        <v>46310</v>
      </c>
    </row>
    <row r="107">
      <c r="B107" s="389" t="inlineStr">
        <is>
          <t>87</t>
        </is>
      </c>
      <c r="C107" s="1149" t="n">
        <v>46311</v>
      </c>
    </row>
    <row r="108">
      <c r="B108" s="389" t="inlineStr">
        <is>
          <t>88</t>
        </is>
      </c>
      <c r="C108" s="1149" t="n">
        <v>46311</v>
      </c>
    </row>
    <row r="109">
      <c r="B109" s="389" t="inlineStr">
        <is>
          <t>89</t>
        </is>
      </c>
      <c r="C109" s="1149" t="n">
        <v>46314</v>
      </c>
    </row>
    <row r="110">
      <c r="B110" s="389" t="inlineStr">
        <is>
          <t>90</t>
        </is>
      </c>
      <c r="C110" s="1149" t="n">
        <v>46314</v>
      </c>
    </row>
    <row r="111">
      <c r="B111" s="389" t="inlineStr">
        <is>
          <t>91</t>
        </is>
      </c>
      <c r="C111" s="1149" t="n">
        <v>46315</v>
      </c>
    </row>
    <row r="112">
      <c r="B112" s="389" t="inlineStr">
        <is>
          <t>92</t>
        </is>
      </c>
      <c r="C112" s="1149" t="n">
        <v>46315</v>
      </c>
    </row>
    <row r="113">
      <c r="B113" s="389" t="inlineStr">
        <is>
          <t>93</t>
        </is>
      </c>
      <c r="C113" s="1149" t="n">
        <v>46316</v>
      </c>
    </row>
    <row r="114">
      <c r="B114" s="389" t="inlineStr">
        <is>
          <t>94</t>
        </is>
      </c>
      <c r="C114" s="1149" t="n">
        <v>46316</v>
      </c>
    </row>
    <row r="115">
      <c r="B115" s="389" t="inlineStr">
        <is>
          <t>95</t>
        </is>
      </c>
      <c r="C115" s="1149" t="n">
        <v>46317</v>
      </c>
    </row>
    <row r="116">
      <c r="B116" s="389" t="inlineStr">
        <is>
          <t>96</t>
        </is>
      </c>
      <c r="C116" s="1149" t="n">
        <v>46317</v>
      </c>
    </row>
    <row r="117">
      <c r="B117" s="389" t="inlineStr">
        <is>
          <t>97</t>
        </is>
      </c>
      <c r="C117" s="1149" t="n">
        <v>46318</v>
      </c>
    </row>
    <row r="118">
      <c r="B118" s="389" t="inlineStr">
        <is>
          <t>98</t>
        </is>
      </c>
      <c r="C118" s="1149" t="n">
        <v>46318</v>
      </c>
    </row>
    <row r="119">
      <c r="B119" s="389" t="inlineStr">
        <is>
          <t>99</t>
        </is>
      </c>
      <c r="C119" s="1149" t="n">
        <v>46321</v>
      </c>
    </row>
    <row r="120">
      <c r="B120" s="389" t="inlineStr">
        <is>
          <t>00</t>
        </is>
      </c>
      <c r="C120" s="1149" t="n">
        <v>46321</v>
      </c>
    </row>
  </sheetData>
  <mergeCells count="3">
    <mergeCell ref="A1:H1"/>
    <mergeCell ref="D5:E5"/>
    <mergeCell ref="A5:B5"/>
  </mergeCells>
  <pageMargins left="0.7" right="0.7" top="0.75" bottom="0.75" header="0.3" footer="0.3"/>
</worksheet>
</file>

<file path=xl/worksheets/sheet3.xml><?xml version="1.0" encoding="utf-8"?>
<worksheet xmlns="http://schemas.openxmlformats.org/spreadsheetml/2006/main">
  <sheetPr>
    <tabColor theme="3" tint="0.3999755851924192"/>
    <outlinePr summaryBelow="1" summaryRight="1"/>
    <pageSetUpPr/>
  </sheetPr>
  <dimension ref="B6:D15"/>
  <sheetViews>
    <sheetView showGridLines="0" topLeftCell="A4" zoomScale="220" zoomScaleNormal="220" workbookViewId="0">
      <selection activeCell="C15" sqref="C15"/>
    </sheetView>
  </sheetViews>
  <sheetFormatPr baseColWidth="10" defaultRowHeight="15"/>
  <cols>
    <col width="10.83203125" customWidth="1" style="365" min="1" max="1"/>
    <col width="27.6640625" customWidth="1" style="365" min="2" max="2"/>
    <col width="33.5" customWidth="1" style="365" min="3" max="3"/>
    <col width="10.83203125" customWidth="1" style="365" min="4" max="16384"/>
  </cols>
  <sheetData>
    <row r="3" ht="17" customHeight="1"/>
    <row r="6" ht="15" customHeight="1">
      <c r="B6" s="367" t="inlineStr">
        <is>
          <t>Numero de identificación tributaria</t>
        </is>
      </c>
      <c r="C6" s="956" t="inlineStr"/>
    </row>
    <row r="7" ht="15" customHeight="1">
      <c r="B7" s="367" t="inlineStr">
        <is>
          <t>DV</t>
        </is>
      </c>
      <c r="C7" s="366" t="inlineStr"/>
    </row>
    <row r="8" ht="15" customHeight="1">
      <c r="B8" s="367" t="inlineStr">
        <is>
          <t>Primer apellido</t>
        </is>
      </c>
      <c r="C8" s="366" t="inlineStr"/>
    </row>
    <row r="9">
      <c r="B9" s="367" t="inlineStr">
        <is>
          <t>Segundo apellido</t>
        </is>
      </c>
      <c r="C9" s="366" t="inlineStr"/>
    </row>
    <row r="10">
      <c r="B10" s="367" t="inlineStr">
        <is>
          <t>Primer Nombre</t>
        </is>
      </c>
      <c r="C10" s="366" t="inlineStr"/>
    </row>
    <row r="11">
      <c r="B11" s="367" t="inlineStr">
        <is>
          <t>Otros Nombres</t>
        </is>
      </c>
      <c r="C11" s="366" t="inlineStr"/>
    </row>
    <row r="12">
      <c r="B12" s="367" t="inlineStr">
        <is>
          <t>Actividad Económica</t>
        </is>
      </c>
      <c r="C12" s="366" t="inlineStr"/>
    </row>
    <row r="13">
      <c r="B13" s="367" t="inlineStr">
        <is>
          <t>Corrección - De ser afirmativo marque x</t>
        </is>
      </c>
      <c r="C13" s="369" t="inlineStr"/>
    </row>
    <row r="14">
      <c r="B14" s="367" t="inlineStr">
        <is>
          <t>No. formulario Anterior</t>
        </is>
      </c>
      <c r="C14" s="369" t="inlineStr"/>
    </row>
    <row r="15">
      <c r="B15" s="367" t="inlineStr">
        <is>
          <t>Fecha de presentación</t>
        </is>
      </c>
      <c r="C15" s="957">
        <f>VLOOKUP(RIGHT(C6,2),'Calendario Tributario'!$B$21:$C$120,2,0)</f>
        <v/>
      </c>
      <c r="D15" s="391" t="inlineStr">
        <is>
          <t>No digitar fecha - Automático</t>
        </is>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tabColor rgb="FF002060"/>
    <outlinePr summaryBelow="1" summaryRight="1"/>
    <pageSetUpPr/>
  </sheetPr>
  <dimension ref="B2:AR60"/>
  <sheetViews>
    <sheetView showGridLines="0" topLeftCell="A30" zoomScale="120" zoomScaleNormal="120" workbookViewId="0">
      <selection activeCell="U51" sqref="U51:W51"/>
    </sheetView>
  </sheetViews>
  <sheetFormatPr baseColWidth="10" defaultColWidth="10.83203125" defaultRowHeight="15"/>
  <cols>
    <col width="2.6640625" customWidth="1" min="1" max="1"/>
    <col width="5" customWidth="1" style="184" min="2" max="2"/>
    <col width="5.6640625" customWidth="1" style="184" min="3" max="3"/>
    <col width="8" customWidth="1" style="184" min="4" max="4"/>
    <col width="3.83203125" customWidth="1" style="184" min="5" max="5"/>
    <col width="13.6640625" customWidth="1" style="184" min="6" max="6"/>
    <col width="3.83203125" customWidth="1" style="185" min="7" max="7"/>
    <col width="11.83203125" customWidth="1" style="185" min="8" max="8"/>
    <col width="3.83203125" customWidth="1" style="185" min="9" max="9"/>
    <col width="7.33203125" customWidth="1" style="185" min="10" max="10"/>
    <col width="5.5" customWidth="1" style="184" min="11" max="11"/>
    <col width="3.83203125" customWidth="1" style="184" min="12" max="12"/>
    <col width="9" customWidth="1" style="184" min="13" max="13"/>
    <col width="2.83203125" bestFit="1" customWidth="1" style="184" min="14" max="14"/>
    <col width="11.33203125" customWidth="1" style="184" min="15" max="15"/>
    <col width="5.83203125" customWidth="1" style="184" min="16" max="16"/>
    <col width="4.33203125" customWidth="1" style="184" min="17" max="17"/>
    <col width="3.83203125" customWidth="1" style="184" min="18" max="18"/>
    <col width="8.1640625" customWidth="1" style="184" min="19" max="19"/>
    <col width="3.83203125" customWidth="1" style="184" min="20" max="20"/>
    <col width="10.6640625" customWidth="1" style="184" min="21" max="21"/>
    <col width="8.6640625" customWidth="1" style="184" min="22" max="22"/>
    <col width="4.6640625" customWidth="1" style="184" min="23" max="23"/>
    <col width="4.5" customWidth="1" style="184" min="24" max="24"/>
    <col width="3.83203125" customWidth="1" style="184" min="25" max="26"/>
    <col width="3.5" bestFit="1" customWidth="1" style="184" min="27" max="27"/>
    <col width="18.6640625" customWidth="1" style="184" min="28" max="28"/>
    <col width="12.5" customWidth="1" min="29" max="29"/>
    <col hidden="1" width="13.33203125" customWidth="1" min="30" max="30"/>
    <col hidden="1" width="10.83203125" customWidth="1" min="31" max="33"/>
    <col hidden="1" width="41.6640625" customWidth="1" min="34" max="34"/>
    <col hidden="1" width="11" customWidth="1" min="35" max="35"/>
    <col hidden="1" width="16.1640625" customWidth="1" min="36" max="36"/>
    <col hidden="1" width="12.6640625" customWidth="1" min="37" max="37"/>
    <col hidden="1" width="10.83203125" customWidth="1" min="38" max="42"/>
    <col hidden="1" width="16.1640625" customWidth="1" min="43" max="43"/>
    <col hidden="1" width="11.1640625" customWidth="1" min="44" max="44"/>
    <col hidden="1" width="13" customWidth="1" min="45" max="48"/>
  </cols>
  <sheetData>
    <row r="2">
      <c r="B2" s="87" t="n"/>
      <c r="C2" s="958" t="n"/>
      <c r="D2" s="958" t="n"/>
      <c r="E2" s="958" t="n"/>
      <c r="F2" s="959" t="n"/>
      <c r="G2" s="554" t="inlineStr">
        <is>
          <t>Declaración de renta y complementarios
personas naturales y asimiladas residentes
y sucesiones ilíquidas de causantes residentes</t>
        </is>
      </c>
      <c r="H2" s="958" t="n"/>
      <c r="I2" s="958" t="n"/>
      <c r="J2" s="958" t="n"/>
      <c r="K2" s="958" t="n"/>
      <c r="L2" s="958" t="n"/>
      <c r="M2" s="958" t="n"/>
      <c r="N2" s="958" t="n"/>
      <c r="O2" s="958" t="n"/>
      <c r="P2" s="958" t="n"/>
      <c r="Q2" s="958" t="n"/>
      <c r="R2" s="958" t="n"/>
      <c r="S2" s="958" t="n"/>
      <c r="T2" s="958" t="n"/>
      <c r="U2" s="959" t="n"/>
      <c r="V2" s="960" t="n"/>
      <c r="W2" s="958" t="n"/>
      <c r="X2" s="958" t="n"/>
      <c r="Y2" s="958" t="n"/>
      <c r="Z2" s="958" t="n"/>
      <c r="AA2" s="561" t="n">
        <v>210</v>
      </c>
      <c r="AB2" s="959" t="n"/>
      <c r="AH2" s="93" t="inlineStr">
        <is>
          <t>Concepto</t>
        </is>
      </c>
      <c r="AI2" s="93" t="inlineStr">
        <is>
          <t>Reng</t>
        </is>
      </c>
      <c r="AJ2" s="93" t="inlineStr">
        <is>
          <t>Valor</t>
        </is>
      </c>
    </row>
    <row r="3">
      <c r="B3" s="961" t="n"/>
      <c r="F3" s="962" t="n"/>
      <c r="G3" s="961" t="n"/>
      <c r="U3" s="962" t="n"/>
      <c r="V3" s="961" t="n"/>
      <c r="AA3" s="961" t="n"/>
      <c r="AB3" s="962" t="n"/>
      <c r="AH3" s="94" t="inlineStr">
        <is>
          <t>Ingresos brutos por rentas de trabajo</t>
        </is>
      </c>
      <c r="AI3" s="95" t="n"/>
      <c r="AJ3" s="96">
        <f>H15</f>
        <v/>
      </c>
    </row>
    <row r="4">
      <c r="B4" s="961" t="n"/>
      <c r="F4" s="962" t="n"/>
      <c r="G4" s="961" t="n"/>
      <c r="U4" s="962" t="n"/>
      <c r="V4" s="961" t="n"/>
      <c r="AA4" s="961" t="n"/>
      <c r="AB4" s="962" t="n"/>
      <c r="AH4" s="94" t="inlineStr">
        <is>
          <t xml:space="preserve">Ingreso Rentas por honorarios </t>
        </is>
      </c>
      <c r="AI4" s="95" t="n"/>
      <c r="AJ4" s="96">
        <f>M15</f>
        <v/>
      </c>
    </row>
    <row r="5">
      <c r="B5" s="963" t="n"/>
      <c r="C5" s="964" t="n"/>
      <c r="D5" s="964" t="n"/>
      <c r="E5" s="964" t="n"/>
      <c r="F5" s="965" t="n"/>
      <c r="G5" s="963" t="n"/>
      <c r="H5" s="964" t="n"/>
      <c r="I5" s="964" t="n"/>
      <c r="J5" s="964" t="n"/>
      <c r="K5" s="964" t="n"/>
      <c r="L5" s="964" t="n"/>
      <c r="M5" s="964" t="n"/>
      <c r="N5" s="964" t="n"/>
      <c r="O5" s="964" t="n"/>
      <c r="P5" s="964" t="n"/>
      <c r="Q5" s="964" t="n"/>
      <c r="R5" s="964" t="n"/>
      <c r="S5" s="964" t="n"/>
      <c r="T5" s="964" t="n"/>
      <c r="U5" s="965" t="n"/>
      <c r="V5" s="963" t="n"/>
      <c r="W5" s="964" t="n"/>
      <c r="X5" s="964" t="n"/>
      <c r="Y5" s="964" t="n"/>
      <c r="Z5" s="964" t="n"/>
      <c r="AA5" s="963" t="n"/>
      <c r="AB5" s="965" t="n"/>
      <c r="AH5" s="94" t="inlineStr">
        <is>
          <t>Ingresos brutos por rentas de capital</t>
        </is>
      </c>
      <c r="AI5" s="95" t="n"/>
      <c r="AJ5" s="96">
        <f>S15</f>
        <v/>
      </c>
    </row>
    <row r="6" ht="15" customHeight="1">
      <c r="B6" s="594" t="inlineStr">
        <is>
          <t xml:space="preserve">ACCESO: </t>
        </is>
      </c>
      <c r="O6" s="962" t="n"/>
      <c r="P6" s="595" t="inlineStr">
        <is>
          <t xml:space="preserve">CLAVE FIRMA: </t>
        </is>
      </c>
      <c r="Q6" s="958" t="n"/>
      <c r="R6" s="958" t="n"/>
      <c r="S6" s="958" t="n"/>
      <c r="T6" s="958" t="n"/>
      <c r="U6" s="958" t="n"/>
      <c r="V6" s="958" t="n"/>
      <c r="W6" s="958" t="n"/>
      <c r="X6" s="958" t="n"/>
      <c r="Y6" s="958" t="n"/>
      <c r="Z6" s="958" t="n"/>
      <c r="AA6" s="958" t="n"/>
      <c r="AB6" s="959" t="n"/>
      <c r="AH6" s="94" t="inlineStr">
        <is>
          <t>Ingresos brutos por rentas no laborales</t>
        </is>
      </c>
      <c r="AI6" s="95" t="n"/>
      <c r="AJ6" s="96">
        <f>Z15</f>
        <v/>
      </c>
    </row>
    <row r="7" ht="15" customHeight="1">
      <c r="B7" s="961" t="n"/>
      <c r="O7" s="962" t="n"/>
      <c r="P7" s="961" t="n"/>
      <c r="AB7" s="962" t="n"/>
      <c r="AH7" s="966" t="inlineStr">
        <is>
          <t>Total ingresos brutos</t>
        </is>
      </c>
      <c r="AI7" s="967" t="n"/>
      <c r="AJ7" s="97">
        <f>SUM(AJ3:AJ6)</f>
        <v/>
      </c>
    </row>
    <row r="8" ht="15" customHeight="1">
      <c r="B8" s="963" t="n"/>
      <c r="C8" s="964" t="n"/>
      <c r="D8" s="964" t="n"/>
      <c r="E8" s="964" t="n"/>
      <c r="F8" s="964" t="n"/>
      <c r="G8" s="964" t="n"/>
      <c r="H8" s="964" t="n"/>
      <c r="I8" s="964" t="n"/>
      <c r="J8" s="964" t="n"/>
      <c r="K8" s="964" t="n"/>
      <c r="L8" s="964" t="n"/>
      <c r="M8" s="964" t="n"/>
      <c r="N8" s="964" t="n"/>
      <c r="O8" s="965" t="n"/>
      <c r="P8" s="963" t="n"/>
      <c r="Q8" s="964" t="n"/>
      <c r="R8" s="964" t="n"/>
      <c r="S8" s="964" t="n"/>
      <c r="T8" s="964" t="n"/>
      <c r="U8" s="964" t="n"/>
      <c r="V8" s="964" t="n"/>
      <c r="W8" s="964" t="n"/>
      <c r="X8" s="964" t="n"/>
      <c r="Y8" s="964" t="n"/>
      <c r="Z8" s="964" t="n"/>
      <c r="AA8" s="964" t="n"/>
      <c r="AB8" s="965" t="n"/>
      <c r="AH8" s="94" t="inlineStr">
        <is>
          <t>(-) I.N.C.R.N.G.O.</t>
        </is>
      </c>
      <c r="AI8" s="95" t="n"/>
      <c r="AJ8" s="96">
        <f>H17</f>
        <v/>
      </c>
    </row>
    <row r="9">
      <c r="B9" s="456" t="inlineStr">
        <is>
          <t>Datos declarante</t>
        </is>
      </c>
      <c r="C9" s="968" t="inlineStr">
        <is>
          <t>5. Numero de identificación tributaria (NIT)</t>
        </is>
      </c>
      <c r="D9" s="958" t="n"/>
      <c r="E9" s="958" t="n"/>
      <c r="F9" s="958" t="n"/>
      <c r="G9" s="958" t="n"/>
      <c r="H9" s="958" t="n"/>
      <c r="I9" s="958" t="n"/>
      <c r="J9" s="959" t="n"/>
      <c r="K9" s="194" t="inlineStr">
        <is>
          <t>6. DV</t>
        </is>
      </c>
      <c r="L9" s="968" t="inlineStr">
        <is>
          <t>7. Primer apellido</t>
        </is>
      </c>
      <c r="M9" s="958" t="n"/>
      <c r="N9" s="958" t="n"/>
      <c r="O9" s="958" t="n"/>
      <c r="P9" s="959" t="n"/>
      <c r="Q9" s="968" t="inlineStr">
        <is>
          <t>8. Segundo apellido</t>
        </is>
      </c>
      <c r="R9" s="958" t="n"/>
      <c r="S9" s="958" t="n"/>
      <c r="T9" s="958" t="n"/>
      <c r="U9" s="959" t="n"/>
      <c r="V9" s="968" t="inlineStr">
        <is>
          <t>9. Primer nombre</t>
        </is>
      </c>
      <c r="W9" s="958" t="n"/>
      <c r="X9" s="958" t="n"/>
      <c r="Y9" s="959" t="n"/>
      <c r="Z9" s="244" t="inlineStr">
        <is>
          <t>10. Otros nombres</t>
        </is>
      </c>
      <c r="AA9" s="328" t="n"/>
      <c r="AB9" s="329" t="inlineStr">
        <is>
          <t>12. Cod Dir</t>
        </is>
      </c>
      <c r="AH9" s="94" t="inlineStr">
        <is>
          <t>(-) I.N.C.R.N.G.O.</t>
        </is>
      </c>
      <c r="AI9" s="95" t="n"/>
      <c r="AJ9" s="96">
        <f>M17</f>
        <v/>
      </c>
    </row>
    <row r="10" ht="20.5" customHeight="1">
      <c r="B10" s="237" t="n"/>
      <c r="C10" s="969">
        <f>'Datos del contribuyente'!C6</f>
        <v/>
      </c>
      <c r="J10" s="962" t="n"/>
      <c r="K10" s="519">
        <f>'Datos del contribuyente'!C7</f>
        <v/>
      </c>
      <c r="L10" s="499">
        <f>'Datos del contribuyente'!C8</f>
        <v/>
      </c>
      <c r="M10" s="958" t="n"/>
      <c r="N10" s="958" t="n"/>
      <c r="O10" s="958" t="n"/>
      <c r="P10" s="959" t="n"/>
      <c r="Q10" s="499">
        <f>'Datos del contribuyente'!C9</f>
        <v/>
      </c>
      <c r="R10" s="958" t="n"/>
      <c r="S10" s="958" t="n"/>
      <c r="T10" s="958" t="n"/>
      <c r="U10" s="959" t="n"/>
      <c r="V10" s="499">
        <f>'Datos del contribuyente'!C10</f>
        <v/>
      </c>
      <c r="W10" s="958" t="n"/>
      <c r="X10" s="958" t="n"/>
      <c r="Y10" s="959" t="n"/>
      <c r="Z10" s="499">
        <f>'Datos del contribuyente'!C11</f>
        <v/>
      </c>
      <c r="AA10" s="958" t="n"/>
      <c r="AB10" s="959" t="n"/>
      <c r="AH10" s="94" t="inlineStr">
        <is>
          <t>(-) I.N.C.R.N.G.O.</t>
        </is>
      </c>
      <c r="AI10" s="95" t="n"/>
      <c r="AJ10" s="96">
        <f>S17</f>
        <v/>
      </c>
    </row>
    <row r="11" ht="20.5" customHeight="1">
      <c r="B11" s="970" t="n"/>
      <c r="C11" s="963" t="n"/>
      <c r="D11" s="964" t="n"/>
      <c r="E11" s="964" t="n"/>
      <c r="F11" s="964" t="n"/>
      <c r="G11" s="964" t="n"/>
      <c r="H11" s="964" t="n"/>
      <c r="I11" s="964" t="n"/>
      <c r="J11" s="965" t="n"/>
      <c r="K11" s="970" t="n"/>
      <c r="L11" s="963" t="n"/>
      <c r="M11" s="964" t="n"/>
      <c r="N11" s="964" t="n"/>
      <c r="O11" s="964" t="n"/>
      <c r="P11" s="965" t="n"/>
      <c r="Q11" s="963" t="n"/>
      <c r="R11" s="964" t="n"/>
      <c r="S11" s="964" t="n"/>
      <c r="T11" s="964" t="n"/>
      <c r="U11" s="965" t="n"/>
      <c r="V11" s="963" t="n"/>
      <c r="W11" s="964" t="n"/>
      <c r="X11" s="964" t="n"/>
      <c r="Y11" s="965" t="n"/>
      <c r="Z11" s="963" t="n"/>
      <c r="AA11" s="964" t="n"/>
      <c r="AB11" s="965" t="n"/>
      <c r="AH11" s="94" t="inlineStr">
        <is>
          <t>(-) I.N.C.R.N.G.O.</t>
        </is>
      </c>
      <c r="AI11" s="95" t="n"/>
      <c r="AJ11" s="96">
        <f>Z17</f>
        <v/>
      </c>
    </row>
    <row r="12" ht="30.75" customHeight="1">
      <c r="B12" s="500" t="inlineStr">
        <is>
          <t>24. Actividad economica</t>
        </is>
      </c>
      <c r="C12" s="327" t="n"/>
      <c r="D12" s="327" t="n"/>
      <c r="E12" s="327" t="n"/>
      <c r="F12" s="368">
        <f>'Datos del contribuyente'!C12</f>
        <v/>
      </c>
      <c r="G12" s="525" t="inlineStr">
        <is>
          <t xml:space="preserve">Si es una correción indique:      25. Cod            </t>
        </is>
      </c>
      <c r="H12" s="971" t="n"/>
      <c r="I12" s="332" t="n"/>
      <c r="J12" s="370">
        <f>'Datos del contribuyente'!C13</f>
        <v/>
      </c>
      <c r="K12" s="500" t="inlineStr">
        <is>
          <t xml:space="preserve"> 26. N° del formulario anterior</t>
        </is>
      </c>
      <c r="L12" s="331" t="n"/>
      <c r="M12" s="332" t="n"/>
      <c r="N12" s="332" t="n"/>
      <c r="O12" s="332">
        <f>'Datos del contribuyente'!C14</f>
        <v/>
      </c>
      <c r="P12" s="546" t="inlineStr">
        <is>
          <t>27. fraccion año gravable siguiente</t>
        </is>
      </c>
      <c r="Q12" s="971" t="n"/>
      <c r="R12" s="971" t="n"/>
      <c r="S12" s="971" t="n"/>
      <c r="T12" s="967" t="n"/>
      <c r="U12" s="482" t="n"/>
      <c r="V12" s="971" t="n"/>
      <c r="W12" s="567" t="inlineStr">
        <is>
          <t>28. Uno porciento (1%) de compras con factura electronica</t>
        </is>
      </c>
      <c r="X12" s="971" t="n"/>
      <c r="Y12" s="971" t="n"/>
      <c r="Z12" s="971" t="n"/>
      <c r="AA12" s="971" t="n"/>
      <c r="AB12" s="972" t="n">
        <v>0</v>
      </c>
      <c r="AH12" s="94" t="n"/>
      <c r="AI12" s="95" t="n"/>
      <c r="AJ12" s="96" t="n"/>
    </row>
    <row r="13" ht="24.5" customHeight="1">
      <c r="B13" s="500" t="inlineStr">
        <is>
          <t>Patrimonio</t>
        </is>
      </c>
      <c r="C13" s="971" t="n"/>
      <c r="D13" s="971" t="n"/>
      <c r="E13" s="967" t="n"/>
      <c r="F13" s="468" t="inlineStr">
        <is>
          <t>Patrimonio bruto</t>
        </is>
      </c>
      <c r="G13" s="971" t="n"/>
      <c r="H13" s="971" t="n"/>
      <c r="I13" s="971" t="n"/>
      <c r="J13" s="971" t="n"/>
      <c r="K13" s="186" t="n">
        <v>29</v>
      </c>
      <c r="L13" s="454" t="n">
        <v>0</v>
      </c>
      <c r="M13" s="971" t="n"/>
      <c r="N13" s="971" t="n"/>
      <c r="O13" s="967" t="n"/>
      <c r="P13" s="481" t="inlineStr">
        <is>
          <t>Deudas</t>
        </is>
      </c>
      <c r="Q13" s="967" t="n"/>
      <c r="R13" s="187" t="n">
        <v>30</v>
      </c>
      <c r="S13" s="454" t="n">
        <v>0</v>
      </c>
      <c r="T13" s="971" t="n"/>
      <c r="U13" s="967" t="n"/>
      <c r="V13" s="481" t="inlineStr">
        <is>
          <t>Total patrimonio líquido</t>
        </is>
      </c>
      <c r="W13" s="971" t="n"/>
      <c r="X13" s="967" t="n"/>
      <c r="Y13" s="187" t="n">
        <v>31</v>
      </c>
      <c r="Z13" s="454" t="n">
        <v>0</v>
      </c>
      <c r="AA13" s="971" t="n"/>
      <c r="AB13" s="967" t="n"/>
      <c r="AH13" s="94" t="inlineStr">
        <is>
          <t>(-) Devoluciones, rebajas, descuentos</t>
        </is>
      </c>
      <c r="AI13" s="95" t="n"/>
      <c r="AJ13" s="96">
        <f>+Z16</f>
        <v/>
      </c>
    </row>
    <row r="14" ht="23" customHeight="1">
      <c r="B14" s="583" t="inlineStr">
        <is>
          <t>Cédula general</t>
        </is>
      </c>
      <c r="C14" s="501" t="inlineStr">
        <is>
          <t>Conceptos / renta</t>
        </is>
      </c>
      <c r="D14" s="971" t="n"/>
      <c r="E14" s="971" t="n"/>
      <c r="F14" s="967" t="n"/>
      <c r="G14" s="501" t="inlineStr">
        <is>
          <t>Rentas de trabajo</t>
        </is>
      </c>
      <c r="H14" s="971" t="n"/>
      <c r="I14" s="971" t="n"/>
      <c r="J14" s="971" t="n"/>
      <c r="K14" s="967" t="n"/>
      <c r="L14" s="522" t="inlineStr">
        <is>
          <t>Rentas de trabajo que no provengan de una relacion laboral o legal y reglamentaria</t>
        </is>
      </c>
      <c r="M14" s="958" t="n"/>
      <c r="N14" s="958" t="n"/>
      <c r="O14" s="958" t="n"/>
      <c r="P14" s="958" t="n"/>
      <c r="Q14" s="958" t="n"/>
      <c r="R14" s="524" t="inlineStr">
        <is>
          <t>Rentas de capital</t>
        </is>
      </c>
      <c r="S14" s="971" t="n"/>
      <c r="T14" s="971" t="n"/>
      <c r="U14" s="971" t="n"/>
      <c r="V14" s="971" t="n"/>
      <c r="W14" s="971" t="n"/>
      <c r="X14" s="967" t="n"/>
      <c r="Y14" s="524" t="inlineStr">
        <is>
          <t>Rentas no laborales</t>
        </is>
      </c>
      <c r="Z14" s="971" t="n"/>
      <c r="AA14" s="971" t="n"/>
      <c r="AB14" s="967" t="n"/>
      <c r="AH14" s="629" t="inlineStr">
        <is>
          <t>(-) Rentas exentas no limitadas</t>
        </is>
      </c>
      <c r="AI14" s="967" t="n"/>
      <c r="AJ14" s="48">
        <f>'R.trabajo y honorarios'!F54+'R.trabajo y honorarios'!G58+'R.trabajo y honorarios'!G59+'R.trabajo y honorarios'!G60+'R.trabajo y honorarios'!G61+'R.no laboral y R gravables'!F66</f>
        <v/>
      </c>
      <c r="AK14" s="46" t="n"/>
    </row>
    <row r="15" ht="23" customHeight="1">
      <c r="B15" s="237" t="n"/>
      <c r="C15" s="533" t="inlineStr">
        <is>
          <t>Ingresos brutos</t>
        </is>
      </c>
      <c r="D15" s="971" t="n"/>
      <c r="E15" s="971" t="n"/>
      <c r="F15" s="967" t="n"/>
      <c r="G15" s="191" t="n">
        <v>32</v>
      </c>
      <c r="H15" s="460" t="n">
        <v>0</v>
      </c>
      <c r="I15" s="971" t="n"/>
      <c r="J15" s="971" t="n"/>
      <c r="K15" s="967" t="n"/>
      <c r="L15" s="191" t="n">
        <v>43</v>
      </c>
      <c r="M15" s="460" t="n">
        <v>0</v>
      </c>
      <c r="N15" s="971" t="n"/>
      <c r="O15" s="971" t="n"/>
      <c r="P15" s="971" t="n"/>
      <c r="Q15" s="967" t="n"/>
      <c r="R15" s="191" t="n">
        <v>58</v>
      </c>
      <c r="S15" s="460" t="n">
        <v>0</v>
      </c>
      <c r="T15" s="971" t="n"/>
      <c r="U15" s="971" t="n"/>
      <c r="V15" s="971" t="n"/>
      <c r="W15" s="971" t="n"/>
      <c r="X15" s="967" t="n"/>
      <c r="Y15" s="191" t="n">
        <v>74</v>
      </c>
      <c r="Z15" s="460" t="n">
        <v>0</v>
      </c>
      <c r="AA15" s="971" t="n"/>
      <c r="AB15" s="967" t="n"/>
      <c r="AH15" s="568" t="inlineStr">
        <is>
          <t>(=) Base límite del 40%</t>
        </is>
      </c>
      <c r="AI15" s="967" t="n"/>
      <c r="AJ15" s="88">
        <f>AJ7-AJ8-AJ9-AJ10-AJ13-AJ14-AJ11</f>
        <v/>
      </c>
      <c r="AK15" s="46" t="n"/>
    </row>
    <row r="16" ht="23" customHeight="1">
      <c r="B16" s="237" t="n"/>
      <c r="C16" s="973" t="inlineStr">
        <is>
          <t>Devoluciones, rebajas y descuentos</t>
        </is>
      </c>
      <c r="D16" s="971" t="n"/>
      <c r="E16" s="971" t="n"/>
      <c r="F16" s="967" t="n"/>
      <c r="G16" s="512" t="n"/>
      <c r="H16" s="958" t="n"/>
      <c r="I16" s="958" t="n"/>
      <c r="J16" s="958" t="n"/>
      <c r="K16" s="958" t="n"/>
      <c r="L16" s="958" t="n"/>
      <c r="M16" s="958" t="n"/>
      <c r="N16" s="958" t="n"/>
      <c r="O16" s="958" t="n"/>
      <c r="P16" s="958" t="n"/>
      <c r="Q16" s="958" t="n"/>
      <c r="R16" s="958" t="n"/>
      <c r="S16" s="958" t="n"/>
      <c r="T16" s="958" t="n"/>
      <c r="U16" s="958" t="n"/>
      <c r="V16" s="958" t="n"/>
      <c r="W16" s="958" t="n"/>
      <c r="X16" s="958" t="n"/>
      <c r="Y16" s="190" t="n">
        <v>75</v>
      </c>
      <c r="Z16" s="504" t="n">
        <v>0</v>
      </c>
      <c r="AA16" s="971" t="n"/>
      <c r="AB16" s="967" t="n"/>
      <c r="AH16" s="629" t="inlineStr">
        <is>
          <t>(A) Monto de las rentas exenta y deducciones limitadas - 40%</t>
        </is>
      </c>
      <c r="AI16" s="967" t="n"/>
      <c r="AJ16" s="48">
        <f>AJ15*0.4</f>
        <v/>
      </c>
    </row>
    <row r="17" ht="23" customHeight="1">
      <c r="B17" s="237" t="n"/>
      <c r="C17" s="533" t="inlineStr">
        <is>
          <t>Ingresos no constitutivos de renta</t>
        </is>
      </c>
      <c r="D17" s="971" t="n"/>
      <c r="E17" s="971" t="n"/>
      <c r="F17" s="967" t="n"/>
      <c r="G17" s="191" t="n">
        <v>33</v>
      </c>
      <c r="H17" s="460" t="n">
        <v>0</v>
      </c>
      <c r="I17" s="971" t="n"/>
      <c r="J17" s="971" t="n"/>
      <c r="K17" s="967" t="n"/>
      <c r="L17" s="191" t="n">
        <v>44</v>
      </c>
      <c r="M17" s="502" t="n">
        <v>0</v>
      </c>
      <c r="N17" s="971" t="n"/>
      <c r="O17" s="971" t="n"/>
      <c r="P17" s="971" t="n"/>
      <c r="Q17" s="967" t="n"/>
      <c r="R17" s="191" t="n">
        <v>59</v>
      </c>
      <c r="S17" s="503" t="n">
        <v>0</v>
      </c>
      <c r="T17" s="971" t="n"/>
      <c r="U17" s="971" t="n"/>
      <c r="V17" s="971" t="n"/>
      <c r="W17" s="971" t="n"/>
      <c r="X17" s="967" t="n"/>
      <c r="Y17" s="191" t="n">
        <v>76</v>
      </c>
      <c r="Z17" s="460" t="n">
        <v>0</v>
      </c>
      <c r="AA17" s="971" t="n"/>
      <c r="AB17" s="967" t="n"/>
      <c r="AH17" s="629" t="inlineStr">
        <is>
          <t>(B) Maximo 1.340 UVT</t>
        </is>
      </c>
      <c r="AI17" s="967" t="n"/>
      <c r="AJ17" s="48">
        <f>ROUND('R.trabajo y honorarios'!H74*1340,-3)</f>
        <v/>
      </c>
    </row>
    <row r="18" ht="23" customHeight="1">
      <c r="B18" s="237" t="n"/>
      <c r="C18" s="480" t="inlineStr">
        <is>
          <t>Costos y deducciones procedentes</t>
        </is>
      </c>
      <c r="D18" s="971" t="n"/>
      <c r="E18" s="971" t="n"/>
      <c r="F18" s="967" t="n"/>
      <c r="G18" s="510" t="n"/>
      <c r="H18" s="971" t="n"/>
      <c r="I18" s="971" t="n"/>
      <c r="J18" s="971" t="n"/>
      <c r="K18" s="967" t="n"/>
      <c r="L18" s="190" t="n">
        <v>45</v>
      </c>
      <c r="M18" s="511" t="n">
        <v>0</v>
      </c>
      <c r="N18" s="971" t="n"/>
      <c r="O18" s="971" t="n"/>
      <c r="P18" s="971" t="n"/>
      <c r="Q18" s="967" t="n"/>
      <c r="R18" s="190" t="n">
        <v>60</v>
      </c>
      <c r="S18" s="508" t="n">
        <v>0</v>
      </c>
      <c r="T18" s="971" t="n"/>
      <c r="U18" s="971" t="n"/>
      <c r="V18" s="971" t="n"/>
      <c r="W18" s="971" t="n"/>
      <c r="X18" s="967" t="n"/>
      <c r="Y18" s="190" t="n">
        <v>77</v>
      </c>
      <c r="Z18" s="520" t="n">
        <v>0</v>
      </c>
      <c r="AA18" s="971" t="n"/>
      <c r="AB18" s="967" t="n"/>
      <c r="AH18" s="568" t="inlineStr">
        <is>
          <t>(menor entre A y B) Rentas exentas y deducciones limitadas</t>
        </is>
      </c>
      <c r="AI18" s="967" t="n"/>
      <c r="AJ18" s="88">
        <f>MIN(AJ17,AJ16)</f>
        <v/>
      </c>
    </row>
    <row r="19" ht="23" customHeight="1">
      <c r="B19" s="237" t="n"/>
      <c r="C19" s="481" t="inlineStr">
        <is>
          <t>Renta líquida</t>
        </is>
      </c>
      <c r="D19" s="971" t="n"/>
      <c r="E19" s="971" t="n"/>
      <c r="F19" s="967" t="n"/>
      <c r="G19" s="191" t="n">
        <v>34</v>
      </c>
      <c r="H19" s="460" t="n">
        <v>0</v>
      </c>
      <c r="I19" s="971" t="n"/>
      <c r="J19" s="971" t="n"/>
      <c r="K19" s="967" t="n"/>
      <c r="L19" s="191" t="n">
        <v>46</v>
      </c>
      <c r="M19" s="502" t="n">
        <v>0</v>
      </c>
      <c r="N19" s="971" t="n"/>
      <c r="O19" s="971" t="n"/>
      <c r="P19" s="971" t="n"/>
      <c r="Q19" s="967" t="n"/>
      <c r="R19" s="191" t="n">
        <v>61</v>
      </c>
      <c r="S19" s="503" t="n">
        <v>0</v>
      </c>
      <c r="T19" s="971" t="n"/>
      <c r="U19" s="971" t="n"/>
      <c r="V19" s="971" t="n"/>
      <c r="W19" s="971" t="n"/>
      <c r="X19" s="967" t="n"/>
      <c r="Y19" s="191" t="n">
        <v>78</v>
      </c>
      <c r="Z19" s="521" t="n">
        <v>0</v>
      </c>
      <c r="AA19" s="971" t="n"/>
      <c r="AB19" s="967" t="n"/>
      <c r="AC19" s="974" t="n"/>
      <c r="AG19" s="962" t="n"/>
      <c r="AH19" s="629" t="inlineStr">
        <is>
          <t>(+) Renta exentas no limitadas</t>
        </is>
      </c>
      <c r="AI19" s="967" t="n"/>
      <c r="AJ19" s="48">
        <f>AJ14</f>
        <v/>
      </c>
    </row>
    <row r="20" ht="23" customHeight="1">
      <c r="B20" s="237" t="n"/>
      <c r="C20" s="480" t="inlineStr">
        <is>
          <t>Rentas líquidas pasivas - ECE</t>
        </is>
      </c>
      <c r="D20" s="971" t="n"/>
      <c r="E20" s="971" t="n"/>
      <c r="F20" s="967" t="n"/>
      <c r="G20" s="512" t="n"/>
      <c r="H20" s="958" t="n"/>
      <c r="I20" s="958" t="n"/>
      <c r="J20" s="958" t="n"/>
      <c r="K20" s="958" t="n"/>
      <c r="L20" s="958" t="n"/>
      <c r="M20" s="958" t="n"/>
      <c r="N20" s="958" t="n"/>
      <c r="O20" s="958" t="n"/>
      <c r="P20" s="958" t="n"/>
      <c r="Q20" s="958" t="n"/>
      <c r="R20" s="191" t="n">
        <v>62</v>
      </c>
      <c r="S20" s="504" t="n">
        <v>0</v>
      </c>
      <c r="T20" s="971" t="n"/>
      <c r="U20" s="971" t="n"/>
      <c r="V20" s="971" t="n"/>
      <c r="W20" s="971" t="n"/>
      <c r="X20" s="967" t="n"/>
      <c r="Y20" s="191" t="n">
        <v>79</v>
      </c>
      <c r="Z20" s="504" t="n">
        <v>0</v>
      </c>
      <c r="AA20" s="971" t="n"/>
      <c r="AB20" s="967" t="n"/>
      <c r="AH20" s="568" t="inlineStr">
        <is>
          <t>(=) Rentas exentas y deducciones limitadas definitivas</t>
        </is>
      </c>
      <c r="AI20" s="967" t="n"/>
      <c r="AJ20" s="88">
        <f>SUM(AJ18:AJ19)</f>
        <v/>
      </c>
      <c r="AK20" t="inlineStr">
        <is>
          <t>total</t>
        </is>
      </c>
    </row>
    <row r="21" ht="23" customHeight="1">
      <c r="B21" s="237" t="n"/>
      <c r="C21" s="456" t="inlineStr">
        <is>
          <t>Rentas exentas</t>
        </is>
      </c>
      <c r="D21" s="533" t="inlineStr">
        <is>
          <t>Aportes voluntarios  AFC, FVP y/o AVC</t>
        </is>
      </c>
      <c r="E21" s="971" t="n"/>
      <c r="F21" s="967" t="n"/>
      <c r="G21" s="191" t="n">
        <v>35</v>
      </c>
      <c r="H21" s="232" t="n">
        <v>0</v>
      </c>
      <c r="I21" s="971" t="n"/>
      <c r="J21" s="971" t="n"/>
      <c r="K21" s="967" t="n"/>
      <c r="L21" s="191" t="n">
        <v>47</v>
      </c>
      <c r="M21" s="460" t="n">
        <v>0</v>
      </c>
      <c r="N21" s="971" t="n"/>
      <c r="O21" s="971" t="n"/>
      <c r="P21" s="971" t="n"/>
      <c r="Q21" s="967" t="n"/>
      <c r="R21" s="191" t="n">
        <v>63</v>
      </c>
      <c r="S21" s="460" t="n">
        <v>0</v>
      </c>
      <c r="T21" s="971" t="n"/>
      <c r="U21" s="971" t="n"/>
      <c r="V21" s="971" t="n"/>
      <c r="W21" s="971" t="n"/>
      <c r="X21" s="967" t="n"/>
      <c r="Y21" s="191" t="n">
        <v>80</v>
      </c>
      <c r="Z21" s="460" t="n">
        <v>0</v>
      </c>
      <c r="AA21" s="971" t="n"/>
      <c r="AB21" s="967" t="n"/>
      <c r="AH21" s="47" t="inlineStr">
        <is>
          <t>Rentas exentas y deducciones - Rentas de trabajo</t>
        </is>
      </c>
      <c r="AI21" s="87" t="n"/>
      <c r="AJ21" s="48">
        <f>H26+H23</f>
        <v/>
      </c>
    </row>
    <row r="22" ht="23" customHeight="1">
      <c r="B22" s="237" t="n"/>
      <c r="C22" s="237" t="n"/>
      <c r="D22" s="480" t="inlineStr">
        <is>
          <t>Otras rentas exentas</t>
        </is>
      </c>
      <c r="E22" s="971" t="n"/>
      <c r="F22" s="967" t="n"/>
      <c r="G22" s="190" t="n">
        <v>36</v>
      </c>
      <c r="H22" s="504" t="n">
        <v>0</v>
      </c>
      <c r="I22" s="971" t="n"/>
      <c r="J22" s="971" t="n"/>
      <c r="K22" s="967" t="n"/>
      <c r="L22" s="190" t="n">
        <v>48</v>
      </c>
      <c r="M22" s="504" t="n">
        <v>0</v>
      </c>
      <c r="N22" s="971" t="n"/>
      <c r="O22" s="971" t="n"/>
      <c r="P22" s="971" t="n"/>
      <c r="Q22" s="967" t="n"/>
      <c r="R22" s="190" t="n">
        <v>64</v>
      </c>
      <c r="S22" s="504" t="n">
        <v>0</v>
      </c>
      <c r="T22" s="971" t="n"/>
      <c r="U22" s="971" t="n"/>
      <c r="V22" s="971" t="n"/>
      <c r="W22" s="971" t="n"/>
      <c r="X22" s="967" t="n"/>
      <c r="Y22" s="190" t="n">
        <v>81</v>
      </c>
      <c r="Z22" s="504" t="n">
        <v>0</v>
      </c>
      <c r="AA22" s="971" t="n"/>
      <c r="AB22" s="967" t="n"/>
      <c r="AH22" s="47" t="inlineStr">
        <is>
          <t>Rentas exentas y deducciones - Rentas de trabajo (limitadas)</t>
        </is>
      </c>
      <c r="AI22" s="87" t="n"/>
      <c r="AJ22" s="46">
        <f>MIN(AJ21,AJ20)</f>
        <v/>
      </c>
    </row>
    <row r="23" ht="23" customHeight="1">
      <c r="B23" s="237" t="n"/>
      <c r="C23" s="970" t="n"/>
      <c r="D23" s="481" t="inlineStr">
        <is>
          <t>Total rentas exentas</t>
        </is>
      </c>
      <c r="E23" s="971" t="n"/>
      <c r="F23" s="967" t="n"/>
      <c r="G23" s="186" t="n">
        <v>37</v>
      </c>
      <c r="H23" s="975" t="n">
        <v>0</v>
      </c>
      <c r="I23" s="971" t="n"/>
      <c r="J23" s="971" t="n"/>
      <c r="K23" s="967" t="n"/>
      <c r="L23" s="186" t="n">
        <v>49</v>
      </c>
      <c r="M23" s="537" t="n">
        <v>0</v>
      </c>
      <c r="N23" s="971" t="n"/>
      <c r="O23" s="971" t="n"/>
      <c r="P23" s="971" t="n"/>
      <c r="Q23" s="967" t="n"/>
      <c r="R23" s="186" t="n">
        <v>65</v>
      </c>
      <c r="S23" s="537" t="n">
        <v>0</v>
      </c>
      <c r="T23" s="971" t="n"/>
      <c r="U23" s="971" t="n"/>
      <c r="V23" s="971" t="n"/>
      <c r="W23" s="971" t="n"/>
      <c r="X23" s="967" t="n"/>
      <c r="Y23" s="186" t="n">
        <v>82</v>
      </c>
      <c r="Z23" s="489" t="n">
        <v>0</v>
      </c>
      <c r="AA23" s="971" t="n"/>
      <c r="AB23" s="967" t="n"/>
      <c r="AD23" s="976" t="n"/>
      <c r="AH23" s="100" t="inlineStr">
        <is>
          <t xml:space="preserve">Rentas exentas por distribuir </t>
        </is>
      </c>
      <c r="AI23" s="100" t="n"/>
      <c r="AJ23" s="101">
        <f>AJ20-AJ22</f>
        <v/>
      </c>
      <c r="AQ23" t="inlineStr">
        <is>
          <t>r. trabajo</t>
        </is>
      </c>
      <c r="AR23" s="46">
        <f>H15</f>
        <v/>
      </c>
    </row>
    <row r="24" ht="23" customHeight="1">
      <c r="B24" s="237" t="n"/>
      <c r="C24" s="456" t="inlineStr">
        <is>
          <t>Deducciones imputables</t>
        </is>
      </c>
      <c r="D24" s="480" t="inlineStr">
        <is>
          <t>Intereses de vivienda</t>
        </is>
      </c>
      <c r="E24" s="971" t="n"/>
      <c r="F24" s="967" t="n"/>
      <c r="G24" s="190" t="n">
        <v>38</v>
      </c>
      <c r="H24" s="233" t="n">
        <v>0</v>
      </c>
      <c r="I24" s="971" t="n"/>
      <c r="J24" s="971" t="n"/>
      <c r="K24" s="967" t="n"/>
      <c r="L24" s="190" t="n">
        <v>50</v>
      </c>
      <c r="M24" s="504" t="n">
        <v>0</v>
      </c>
      <c r="N24" s="971" t="n"/>
      <c r="O24" s="971" t="n"/>
      <c r="P24" s="971" t="n"/>
      <c r="Q24" s="967" t="n"/>
      <c r="R24" s="190" t="n">
        <v>66</v>
      </c>
      <c r="S24" s="504" t="n">
        <v>0</v>
      </c>
      <c r="T24" s="971" t="n"/>
      <c r="U24" s="971" t="n"/>
      <c r="V24" s="971" t="n"/>
      <c r="W24" s="971" t="n"/>
      <c r="X24" s="967" t="n"/>
      <c r="Y24" s="190" t="n">
        <v>83</v>
      </c>
      <c r="Z24" s="504" t="n">
        <v>0</v>
      </c>
      <c r="AA24" s="971" t="n"/>
      <c r="AB24" s="967" t="n"/>
      <c r="AH24" s="47" t="inlineStr">
        <is>
          <t>Rentas exentas y deducciones - Honorarios</t>
        </is>
      </c>
      <c r="AI24" s="87" t="n"/>
      <c r="AJ24" s="48">
        <f>M23+M26</f>
        <v/>
      </c>
      <c r="AQ24" t="inlineStr">
        <is>
          <t>r. capital</t>
        </is>
      </c>
      <c r="AR24" s="46">
        <f>S15</f>
        <v/>
      </c>
    </row>
    <row r="25" ht="23" customHeight="1">
      <c r="B25" s="237" t="n"/>
      <c r="C25" s="237" t="n"/>
      <c r="D25" s="533" t="inlineStr">
        <is>
          <t>Otras deducciones imputables</t>
        </is>
      </c>
      <c r="E25" s="971" t="n"/>
      <c r="F25" s="967" t="n"/>
      <c r="G25" s="191" t="n">
        <v>39</v>
      </c>
      <c r="H25" s="460" t="n">
        <v>0</v>
      </c>
      <c r="I25" s="971" t="n"/>
      <c r="J25" s="971" t="n"/>
      <c r="K25" s="967" t="n"/>
      <c r="L25" s="191" t="n">
        <v>51</v>
      </c>
      <c r="M25" s="460" t="n">
        <v>0</v>
      </c>
      <c r="N25" s="971" t="n"/>
      <c r="O25" s="971" t="n"/>
      <c r="P25" s="971" t="n"/>
      <c r="Q25" s="967" t="n"/>
      <c r="R25" s="191" t="n">
        <v>67</v>
      </c>
      <c r="S25" s="460" t="n">
        <v>0</v>
      </c>
      <c r="T25" s="971" t="n"/>
      <c r="U25" s="971" t="n"/>
      <c r="V25" s="971" t="n"/>
      <c r="W25" s="971" t="n"/>
      <c r="X25" s="967" t="n"/>
      <c r="Y25" s="191" t="n">
        <v>84</v>
      </c>
      <c r="Z25" s="460" t="n">
        <v>0</v>
      </c>
      <c r="AA25" s="971" t="n"/>
      <c r="AB25" s="967" t="n"/>
      <c r="AH25" s="47" t="inlineStr">
        <is>
          <t>Rentas exentas y deducciones - Honorarios (limitadas)</t>
        </is>
      </c>
      <c r="AI25" s="87" t="n"/>
      <c r="AJ25" s="46">
        <f>MIN(AJ24,AJ23)</f>
        <v/>
      </c>
      <c r="AQ25" t="inlineStr">
        <is>
          <t>r. no laboral</t>
        </is>
      </c>
      <c r="AR25" s="46">
        <f>Z15</f>
        <v/>
      </c>
    </row>
    <row r="26" ht="23" customHeight="1">
      <c r="B26" s="237" t="n"/>
      <c r="C26" s="970" t="n"/>
      <c r="D26" s="546" t="inlineStr">
        <is>
          <t>Total deducciones imputables</t>
        </is>
      </c>
      <c r="E26" s="971" t="n"/>
      <c r="F26" s="967" t="n"/>
      <c r="G26" s="501" t="n">
        <v>40</v>
      </c>
      <c r="H26" s="977" t="n">
        <v>0</v>
      </c>
      <c r="I26" s="971" t="n"/>
      <c r="J26" s="971" t="n"/>
      <c r="K26" s="967" t="n"/>
      <c r="L26" s="501" t="n">
        <v>52</v>
      </c>
      <c r="M26" s="477" t="n">
        <v>0</v>
      </c>
      <c r="N26" s="971" t="n"/>
      <c r="O26" s="971" t="n"/>
      <c r="P26" s="971" t="n"/>
      <c r="Q26" s="967" t="n"/>
      <c r="R26" s="501" t="n">
        <v>68</v>
      </c>
      <c r="S26" s="477" t="n">
        <v>0</v>
      </c>
      <c r="T26" s="971" t="n"/>
      <c r="U26" s="971" t="n"/>
      <c r="V26" s="971" t="n"/>
      <c r="W26" s="971" t="n"/>
      <c r="X26" s="967" t="n"/>
      <c r="Y26" s="501" t="n">
        <v>85</v>
      </c>
      <c r="Z26" s="477" t="n">
        <v>0</v>
      </c>
      <c r="AA26" s="971" t="n"/>
      <c r="AB26" s="967" t="n"/>
      <c r="AH26" s="100" t="inlineStr">
        <is>
          <t xml:space="preserve">Rentas exentas por distribuir </t>
        </is>
      </c>
      <c r="AI26" s="100" t="n"/>
      <c r="AJ26" s="101">
        <f>AJ23-AJ25</f>
        <v/>
      </c>
      <c r="AQ26" t="inlineStr">
        <is>
          <t>C. dividendos</t>
        </is>
      </c>
      <c r="AR26" s="46">
        <f>J39+J42+J43</f>
        <v/>
      </c>
    </row>
    <row r="27" ht="23" customHeight="1">
      <c r="B27" s="237" t="n"/>
      <c r="C27" s="481" t="inlineStr">
        <is>
          <t>Rentas exentas y/o deducciones imputables (limitadas)</t>
        </is>
      </c>
      <c r="D27" s="971" t="n"/>
      <c r="E27" s="971" t="n"/>
      <c r="F27" s="967" t="n"/>
      <c r="G27" s="186" t="n">
        <v>41</v>
      </c>
      <c r="H27" s="537" t="n">
        <v>0</v>
      </c>
      <c r="I27" s="971" t="n"/>
      <c r="J27" s="971" t="n"/>
      <c r="K27" s="967" t="n"/>
      <c r="L27" s="186" t="n">
        <v>53</v>
      </c>
      <c r="M27" s="537" t="n">
        <v>0</v>
      </c>
      <c r="N27" s="971" t="n"/>
      <c r="O27" s="971" t="n"/>
      <c r="P27" s="971" t="n"/>
      <c r="Q27" s="967" t="n"/>
      <c r="R27" s="186" t="n">
        <v>69</v>
      </c>
      <c r="S27" s="537" t="n">
        <v>0</v>
      </c>
      <c r="T27" s="971" t="n"/>
      <c r="U27" s="971" t="n"/>
      <c r="V27" s="971" t="n"/>
      <c r="W27" s="971" t="n"/>
      <c r="X27" s="967" t="n"/>
      <c r="Y27" s="186" t="n">
        <v>86</v>
      </c>
      <c r="Z27" s="537" t="n">
        <v>0</v>
      </c>
      <c r="AA27" s="971" t="n"/>
      <c r="AB27" s="967" t="n"/>
      <c r="AH27" s="47" t="inlineStr">
        <is>
          <t>Rentas exentas y deducciones - Rentas de capital</t>
        </is>
      </c>
      <c r="AI27" s="87" t="n"/>
      <c r="AJ27" s="48">
        <f>S23+S26</f>
        <v/>
      </c>
      <c r="AQ27" t="inlineStr">
        <is>
          <t>g. ocasional</t>
        </is>
      </c>
      <c r="AR27" s="46">
        <f>J47</f>
        <v/>
      </c>
    </row>
    <row r="28" ht="23" customHeight="1">
      <c r="B28" s="237" t="n"/>
      <c r="C28" s="546" t="inlineStr">
        <is>
          <t>Renta líquida ordinaria del ejercicio</t>
        </is>
      </c>
      <c r="D28" s="971" t="n"/>
      <c r="E28" s="971" t="n"/>
      <c r="F28" s="967" t="n"/>
      <c r="G28" s="512" t="n"/>
      <c r="H28" s="958" t="n"/>
      <c r="I28" s="958" t="n"/>
      <c r="J28" s="958" t="n"/>
      <c r="K28" s="958" t="n"/>
      <c r="L28" s="501" t="n">
        <v>54</v>
      </c>
      <c r="M28" s="488" t="n">
        <v>0</v>
      </c>
      <c r="N28" s="971" t="n"/>
      <c r="O28" s="971" t="n"/>
      <c r="P28" s="971" t="n"/>
      <c r="Q28" s="967" t="n"/>
      <c r="R28" s="501" t="n">
        <v>70</v>
      </c>
      <c r="S28" s="488" t="n">
        <v>0</v>
      </c>
      <c r="T28" s="971" t="n"/>
      <c r="U28" s="971" t="n"/>
      <c r="V28" s="971" t="n"/>
      <c r="W28" s="971" t="n"/>
      <c r="X28" s="967" t="n"/>
      <c r="Y28" s="190" t="n">
        <v>87</v>
      </c>
      <c r="Z28" s="488" t="n">
        <v>0</v>
      </c>
      <c r="AA28" s="971" t="n"/>
      <c r="AB28" s="967" t="n"/>
      <c r="AH28" s="47" t="inlineStr">
        <is>
          <t>Rentas exentas y deducciones - Rentas de capital (limitadas)</t>
        </is>
      </c>
      <c r="AI28" s="87" t="n"/>
      <c r="AJ28" s="48">
        <f>ROUND(IF(AJ23&gt;AJ27,AJ27,AJ23),-3)</f>
        <v/>
      </c>
      <c r="AQ28" s="100" t="inlineStr">
        <is>
          <t>total</t>
        </is>
      </c>
      <c r="AR28" s="101">
        <f>SUM(AR23:AR27)</f>
        <v/>
      </c>
    </row>
    <row r="29" ht="23" customHeight="1">
      <c r="B29" s="237" t="n"/>
      <c r="C29" s="481" t="inlineStr">
        <is>
          <t>Pérdida líquida del ejercicio</t>
        </is>
      </c>
      <c r="D29" s="971" t="n"/>
      <c r="E29" s="971" t="n"/>
      <c r="F29" s="967" t="n"/>
      <c r="G29" s="961" t="n"/>
      <c r="L29" s="186" t="n">
        <v>55</v>
      </c>
      <c r="M29" s="537" t="n">
        <v>0</v>
      </c>
      <c r="N29" s="971" t="n"/>
      <c r="O29" s="971" t="n"/>
      <c r="P29" s="971" t="n"/>
      <c r="Q29" s="967" t="n"/>
      <c r="R29" s="186" t="n">
        <v>71</v>
      </c>
      <c r="S29" s="978" t="n">
        <v>0</v>
      </c>
      <c r="T29" s="971" t="n"/>
      <c r="U29" s="971" t="n"/>
      <c r="V29" s="971" t="n"/>
      <c r="W29" s="971" t="n"/>
      <c r="X29" s="967" t="n"/>
      <c r="Y29" s="191" t="n">
        <v>88</v>
      </c>
      <c r="Z29" s="978" t="n">
        <v>0</v>
      </c>
      <c r="AA29" s="971" t="n"/>
      <c r="AB29" s="967" t="n"/>
      <c r="AH29" s="100" t="inlineStr">
        <is>
          <t xml:space="preserve">Rentas exentas por distribuir </t>
        </is>
      </c>
      <c r="AI29" s="100" t="n"/>
      <c r="AJ29" s="101">
        <f>AJ26-AJ28</f>
        <v/>
      </c>
    </row>
    <row r="30" ht="23" customHeight="1">
      <c r="B30" s="237" t="n"/>
      <c r="C30" s="542" t="inlineStr">
        <is>
          <t>Compensaciones por pérdidas</t>
        </is>
      </c>
      <c r="D30" s="971" t="n"/>
      <c r="E30" s="971" t="n"/>
      <c r="F30" s="967" t="n"/>
      <c r="G30" s="961" t="n"/>
      <c r="L30" s="190" t="n">
        <v>56</v>
      </c>
      <c r="M30" s="488" t="n">
        <v>0</v>
      </c>
      <c r="N30" s="971" t="n"/>
      <c r="O30" s="971" t="n"/>
      <c r="P30" s="971" t="n"/>
      <c r="Q30" s="967" t="n"/>
      <c r="R30" s="190" t="n">
        <v>72</v>
      </c>
      <c r="S30" s="488" t="n">
        <v>0</v>
      </c>
      <c r="T30" s="971" t="n"/>
      <c r="U30" s="971" t="n"/>
      <c r="V30" s="971" t="n"/>
      <c r="W30" s="971" t="n"/>
      <c r="X30" s="967" t="n"/>
      <c r="Y30" s="190" t="n">
        <v>89</v>
      </c>
      <c r="Z30" s="488" t="n">
        <v>0</v>
      </c>
      <c r="AA30" s="971" t="n"/>
      <c r="AB30" s="967" t="n"/>
      <c r="AH30" s="47" t="inlineStr">
        <is>
          <t>Rentas exentas y deducciones - Rentas no laborales</t>
        </is>
      </c>
      <c r="AI30" s="87" t="n"/>
      <c r="AJ30" s="48">
        <f>Z23+Z26</f>
        <v/>
      </c>
      <c r="AQ30" t="inlineStr">
        <is>
          <t>R capital y no labo</t>
        </is>
      </c>
      <c r="AR30" s="46">
        <f>AR25+AR24</f>
        <v/>
      </c>
    </row>
    <row r="31" ht="23" customHeight="1">
      <c r="B31" s="237" t="n"/>
      <c r="C31" s="481" t="inlineStr">
        <is>
          <t>Renta líquida ordinaria</t>
        </is>
      </c>
      <c r="D31" s="971" t="n"/>
      <c r="E31" s="971" t="n"/>
      <c r="F31" s="967" t="n"/>
      <c r="G31" s="186" t="n">
        <v>42</v>
      </c>
      <c r="H31" s="545" t="n">
        <v>0</v>
      </c>
      <c r="I31" s="971" t="n"/>
      <c r="J31" s="971" t="n"/>
      <c r="K31" s="967" t="n"/>
      <c r="L31" s="186" t="n">
        <v>57</v>
      </c>
      <c r="M31" s="489" t="n">
        <v>0</v>
      </c>
      <c r="N31" s="971" t="n"/>
      <c r="O31" s="971" t="n"/>
      <c r="P31" s="971" t="n"/>
      <c r="Q31" s="967" t="n"/>
      <c r="R31" s="186" t="n">
        <v>73</v>
      </c>
      <c r="S31" s="489" t="n">
        <v>0</v>
      </c>
      <c r="T31" s="971" t="n"/>
      <c r="U31" s="971" t="n"/>
      <c r="V31" s="971" t="n"/>
      <c r="W31" s="971" t="n"/>
      <c r="X31" s="967" t="n"/>
      <c r="Y31" s="186" t="n">
        <v>90</v>
      </c>
      <c r="Z31" s="489" t="n">
        <v>0</v>
      </c>
      <c r="AA31" s="971" t="n"/>
      <c r="AB31" s="967" t="n"/>
      <c r="AH31" s="47" t="inlineStr">
        <is>
          <t>Rentas exentas y deducciones - Rentas no laborales (limitadas)</t>
        </is>
      </c>
      <c r="AI31" s="87" t="n"/>
      <c r="AJ31" s="48">
        <f>ROUND(IF(AJ29&gt;AJ30,AJ30,AJ29),-3)</f>
        <v/>
      </c>
    </row>
    <row r="32" ht="25.5" customHeight="1">
      <c r="B32" s="237" t="n"/>
      <c r="C32" s="546" t="inlineStr">
        <is>
          <t>Ren. líquida
céd. gen.</t>
        </is>
      </c>
      <c r="D32" s="967" t="n"/>
      <c r="E32" s="501" t="n">
        <v>91</v>
      </c>
      <c r="F32" s="454" t="n">
        <v>0</v>
      </c>
      <c r="G32" s="971" t="n"/>
      <c r="H32" s="967" t="n"/>
      <c r="I32" s="546" t="inlineStr">
        <is>
          <t>Ren. ex.  y
ded. Imp. Li.</t>
        </is>
      </c>
      <c r="J32" s="967" t="n"/>
      <c r="K32" s="501" t="n">
        <v>92</v>
      </c>
      <c r="L32" s="979" t="n">
        <v>0</v>
      </c>
      <c r="M32" s="971" t="n"/>
      <c r="N32" s="971" t="n"/>
      <c r="O32" s="967" t="n"/>
      <c r="P32" s="546" t="inlineStr">
        <is>
          <t>R. liq. ord.
cédula gen.</t>
        </is>
      </c>
      <c r="Q32" s="967" t="n"/>
      <c r="R32" s="501" t="n">
        <v>93</v>
      </c>
      <c r="S32" s="454" t="n">
        <v>0</v>
      </c>
      <c r="T32" s="971" t="n"/>
      <c r="U32" s="971" t="n"/>
      <c r="V32" s="967" t="n"/>
      <c r="W32" s="980" t="inlineStr">
        <is>
          <t>Comp. Pérdidas año 2018 y ant.</t>
        </is>
      </c>
      <c r="X32" s="971" t="n"/>
      <c r="Y32" s="967" t="n"/>
      <c r="Z32" s="190" t="n">
        <v>94</v>
      </c>
      <c r="AA32" s="454" t="n">
        <v>0</v>
      </c>
      <c r="AB32" s="967" t="n"/>
      <c r="AD32" s="976" t="n"/>
    </row>
    <row r="33" ht="23" customHeight="1">
      <c r="B33" s="970" t="n"/>
      <c r="C33" s="481" t="inlineStr">
        <is>
          <t>Comp. por exc. renta presuntiva</t>
        </is>
      </c>
      <c r="D33" s="967" t="n"/>
      <c r="E33" s="186" t="n">
        <v>95</v>
      </c>
      <c r="F33" s="545" t="n">
        <v>0</v>
      </c>
      <c r="G33" s="971" t="n"/>
      <c r="H33" s="967" t="n"/>
      <c r="I33" s="481" t="inlineStr">
        <is>
          <t>Rentas
gravables</t>
        </is>
      </c>
      <c r="J33" s="967" t="n"/>
      <c r="K33" s="186" t="n">
        <v>96</v>
      </c>
      <c r="L33" s="545" t="n">
        <v>0</v>
      </c>
      <c r="M33" s="971" t="n"/>
      <c r="N33" s="971" t="n"/>
      <c r="O33" s="967" t="n"/>
      <c r="P33" s="481" t="inlineStr">
        <is>
          <t>R. liq. grav.
cédula gen.</t>
        </is>
      </c>
      <c r="Q33" s="967" t="n"/>
      <c r="R33" s="186" t="n">
        <v>97</v>
      </c>
      <c r="S33" s="545" t="n">
        <v>0</v>
      </c>
      <c r="T33" s="971" t="n"/>
      <c r="U33" s="971" t="n"/>
      <c r="V33" s="967" t="n"/>
      <c r="W33" s="533" t="inlineStr">
        <is>
          <t>Renta presuntiva</t>
        </is>
      </c>
      <c r="X33" s="971" t="n"/>
      <c r="Y33" s="967" t="n"/>
      <c r="Z33" s="191" t="n">
        <v>98</v>
      </c>
      <c r="AA33" s="550" t="n">
        <v>0</v>
      </c>
      <c r="AB33" s="967" t="n"/>
    </row>
    <row r="34" ht="23" customHeight="1">
      <c r="B34" s="583" t="inlineStr">
        <is>
          <t>Cédula de 
pensiones</t>
        </is>
      </c>
      <c r="C34" s="480" t="inlineStr">
        <is>
          <t>Ingresos brutos por rentas de pensiones del país y del exterior</t>
        </is>
      </c>
      <c r="D34" s="971" t="n"/>
      <c r="E34" s="971" t="n"/>
      <c r="F34" s="971" t="n"/>
      <c r="G34" s="971" t="n"/>
      <c r="H34" s="967" t="n"/>
      <c r="I34" s="190" t="n">
        <v>99</v>
      </c>
      <c r="J34" s="454" t="n">
        <v>0</v>
      </c>
      <c r="K34" s="971" t="n"/>
      <c r="L34" s="971" t="n"/>
      <c r="M34" s="971" t="n"/>
      <c r="N34" s="971" t="n"/>
      <c r="O34" s="967" t="n"/>
      <c r="P34" s="583" t="inlineStr">
        <is>
          <t>Liquidación privada</t>
        </is>
      </c>
      <c r="Q34" s="456" t="inlineStr">
        <is>
          <t>Impuesto sobre las rentas
líquidas gravables</t>
        </is>
      </c>
      <c r="R34" s="981" t="inlineStr">
        <is>
          <t>Cédula general, de pensiones y de dividendos y participaciones</t>
        </is>
      </c>
      <c r="S34" s="958" t="n"/>
      <c r="T34" s="958" t="n"/>
      <c r="U34" s="958" t="n"/>
      <c r="V34" s="958" t="n"/>
      <c r="W34" s="959" t="n"/>
      <c r="X34" s="191" t="n">
        <v>116</v>
      </c>
      <c r="Y34" s="573" t="n">
        <v>0</v>
      </c>
      <c r="Z34" s="971" t="n"/>
      <c r="AA34" s="971" t="n"/>
      <c r="AB34" s="967" t="n"/>
      <c r="AE34" s="976" t="n"/>
      <c r="AF34" s="976" t="n"/>
      <c r="AG34" s="976" t="n"/>
      <c r="AH34" s="976" t="n"/>
      <c r="AI34" s="976" t="n"/>
    </row>
    <row r="35" ht="23" customHeight="1">
      <c r="B35" s="237" t="n"/>
      <c r="C35" s="533" t="inlineStr">
        <is>
          <t>Ingresos no constitutivos de renta</t>
        </is>
      </c>
      <c r="D35" s="971" t="n"/>
      <c r="E35" s="971" t="n"/>
      <c r="F35" s="971" t="n"/>
      <c r="G35" s="971" t="n"/>
      <c r="H35" s="967" t="n"/>
      <c r="I35" s="191" t="n">
        <v>100</v>
      </c>
      <c r="J35" s="550" t="n">
        <v>0</v>
      </c>
      <c r="K35" s="971" t="n"/>
      <c r="L35" s="971" t="n"/>
      <c r="M35" s="971" t="n"/>
      <c r="N35" s="971" t="n"/>
      <c r="O35" s="967" t="n"/>
      <c r="P35" s="237" t="n"/>
      <c r="Q35" s="237" t="n"/>
      <c r="R35" s="480" t="inlineStr">
        <is>
          <t>Renta presuntiva, de pensiones y de dividendos y participaciones</t>
        </is>
      </c>
      <c r="S35" s="971" t="n"/>
      <c r="T35" s="971" t="n"/>
      <c r="U35" s="971" t="n"/>
      <c r="V35" s="971" t="n"/>
      <c r="W35" s="967" t="n"/>
      <c r="X35" s="501" t="n">
        <v>117</v>
      </c>
      <c r="Y35" s="596" t="n">
        <v>0</v>
      </c>
      <c r="Z35" s="971" t="n"/>
      <c r="AA35" s="971" t="n"/>
      <c r="AB35" s="967" t="n"/>
    </row>
    <row r="36" ht="23" customHeight="1">
      <c r="B36" s="237" t="n"/>
      <c r="C36" s="546" t="inlineStr">
        <is>
          <t>Renta líquida</t>
        </is>
      </c>
      <c r="D36" s="971" t="n"/>
      <c r="E36" s="971" t="n"/>
      <c r="F36" s="971" t="n"/>
      <c r="G36" s="971" t="n"/>
      <c r="H36" s="967" t="n"/>
      <c r="I36" s="190" t="n">
        <v>101</v>
      </c>
      <c r="J36" s="479" t="n">
        <v>0</v>
      </c>
      <c r="K36" s="971" t="n"/>
      <c r="L36" s="971" t="n"/>
      <c r="M36" s="971" t="n"/>
      <c r="N36" s="971" t="n"/>
      <c r="O36" s="967" t="n"/>
      <c r="P36" s="237" t="n"/>
      <c r="Q36" s="237" t="n"/>
      <c r="R36" s="533" t="inlineStr">
        <is>
          <t>Por dividendos y partipaciones año 2017 y 
siguientes, 1a. subcédula</t>
        </is>
      </c>
      <c r="S36" s="971" t="n"/>
      <c r="T36" s="971" t="n"/>
      <c r="U36" s="971" t="n"/>
      <c r="V36" s="971" t="n"/>
      <c r="W36" s="967" t="n"/>
      <c r="X36" s="191" t="n">
        <v>118</v>
      </c>
      <c r="Y36" s="573" t="n">
        <v>0</v>
      </c>
      <c r="Z36" s="971" t="n"/>
      <c r="AA36" s="971" t="n"/>
      <c r="AB36" s="967" t="n"/>
    </row>
    <row r="37" ht="23" customHeight="1">
      <c r="B37" s="237" t="n"/>
      <c r="C37" s="533" t="inlineStr">
        <is>
          <t>Rentas exentas de pensiones</t>
        </is>
      </c>
      <c r="D37" s="971" t="n"/>
      <c r="E37" s="971" t="n"/>
      <c r="F37" s="971" t="n"/>
      <c r="G37" s="971" t="n"/>
      <c r="H37" s="967" t="n"/>
      <c r="I37" s="191" t="n">
        <v>102</v>
      </c>
      <c r="J37" s="550" t="n">
        <v>0</v>
      </c>
      <c r="K37" s="971" t="n"/>
      <c r="L37" s="971" t="n"/>
      <c r="M37" s="971" t="n"/>
      <c r="N37" s="971" t="n"/>
      <c r="O37" s="967" t="n"/>
      <c r="P37" s="237" t="n"/>
      <c r="Q37" s="237" t="n"/>
      <c r="R37" s="982" t="inlineStr">
        <is>
          <t>Por dividendos y partipaciones año 2016</t>
        </is>
      </c>
      <c r="S37" s="958" t="n"/>
      <c r="T37" s="958" t="n"/>
      <c r="U37" s="958" t="n"/>
      <c r="V37" s="958" t="n"/>
      <c r="W37" s="959" t="n"/>
      <c r="X37" s="501" t="n">
        <v>119</v>
      </c>
      <c r="Y37" s="596" t="n">
        <v>0</v>
      </c>
      <c r="Z37" s="971" t="n"/>
      <c r="AA37" s="971" t="n"/>
      <c r="AB37" s="967" t="n"/>
    </row>
    <row r="38" ht="23" customHeight="1">
      <c r="B38" s="970" t="n"/>
      <c r="C38" s="546" t="inlineStr">
        <is>
          <t>Renta líquida gravable cédula de pensiones</t>
        </is>
      </c>
      <c r="D38" s="971" t="n"/>
      <c r="E38" s="971" t="n"/>
      <c r="F38" s="971" t="n"/>
      <c r="G38" s="971" t="n"/>
      <c r="H38" s="967" t="n"/>
      <c r="I38" s="501" t="n">
        <v>103</v>
      </c>
      <c r="J38" s="479" t="n">
        <v>0</v>
      </c>
      <c r="K38" s="971" t="n"/>
      <c r="L38" s="971" t="n"/>
      <c r="M38" s="971" t="n"/>
      <c r="N38" s="971" t="n"/>
      <c r="O38" s="967" t="n"/>
      <c r="P38" s="237" t="n"/>
      <c r="Q38" s="237" t="n"/>
      <c r="R38" s="981" t="inlineStr">
        <is>
          <t>Por dividendos y partipaciones recibidas del exterior</t>
        </is>
      </c>
      <c r="S38" s="958" t="n"/>
      <c r="T38" s="958" t="n"/>
      <c r="U38" s="958" t="n"/>
      <c r="V38" s="958" t="n"/>
      <c r="W38" s="959" t="n"/>
      <c r="X38" s="191" t="n">
        <v>120</v>
      </c>
      <c r="Y38" s="573" t="n">
        <v>0</v>
      </c>
      <c r="Z38" s="971" t="n"/>
      <c r="AA38" s="971" t="n"/>
      <c r="AB38" s="967" t="n"/>
    </row>
    <row r="39" ht="23" customHeight="1">
      <c r="B39" s="583" t="inlineStr">
        <is>
          <t xml:space="preserve">Cédula de dividendos y 
participaciones </t>
        </is>
      </c>
      <c r="C39" s="533" t="inlineStr">
        <is>
          <t>Dividendos y participaciones 2016 y anteriores y otros</t>
        </is>
      </c>
      <c r="D39" s="971" t="n"/>
      <c r="E39" s="971" t="n"/>
      <c r="F39" s="971" t="n"/>
      <c r="G39" s="971" t="n"/>
      <c r="H39" s="967" t="n"/>
      <c r="I39" s="191" t="n">
        <v>104</v>
      </c>
      <c r="J39" s="545" t="n">
        <v>0</v>
      </c>
      <c r="K39" s="971" t="n"/>
      <c r="L39" s="971" t="n"/>
      <c r="M39" s="971" t="n"/>
      <c r="N39" s="971" t="n"/>
      <c r="O39" s="967" t="n"/>
      <c r="P39" s="237" t="n"/>
      <c r="Q39" s="970" t="n"/>
      <c r="R39" s="546" t="inlineStr">
        <is>
          <t>Total impuestos sobre las rentas líquidas gravables</t>
        </is>
      </c>
      <c r="S39" s="971" t="n"/>
      <c r="T39" s="971" t="n"/>
      <c r="U39" s="971" t="n"/>
      <c r="V39" s="971" t="n"/>
      <c r="W39" s="967" t="n"/>
      <c r="X39" s="501" t="n">
        <v>121</v>
      </c>
      <c r="Y39" s="479" t="n">
        <v>0</v>
      </c>
      <c r="Z39" s="971" t="n"/>
      <c r="AA39" s="971" t="n"/>
      <c r="AB39" s="967" t="n"/>
    </row>
    <row r="40" ht="33" customHeight="1">
      <c r="B40" s="237" t="n"/>
      <c r="C40" s="480" t="inlineStr">
        <is>
          <t>Ingresos no constitutivos de renta</t>
        </is>
      </c>
      <c r="D40" s="971" t="n"/>
      <c r="E40" s="971" t="n"/>
      <c r="F40" s="971" t="n"/>
      <c r="G40" s="971" t="n"/>
      <c r="H40" s="967" t="n"/>
      <c r="I40" s="190" t="n">
        <v>105</v>
      </c>
      <c r="J40" s="479" t="n">
        <v>0</v>
      </c>
      <c r="K40" s="971" t="n"/>
      <c r="L40" s="971" t="n"/>
      <c r="M40" s="971" t="n"/>
      <c r="N40" s="971" t="n"/>
      <c r="O40" s="967" t="n"/>
      <c r="P40" s="237" t="n"/>
      <c r="Q40" s="983" t="inlineStr">
        <is>
          <t>Descuentos tributarios</t>
        </is>
      </c>
      <c r="R40" s="533" t="inlineStr">
        <is>
          <t>Imp. Pagados
en el exterior</t>
        </is>
      </c>
      <c r="S40" s="967" t="n"/>
      <c r="T40" s="188" t="n">
        <v>122</v>
      </c>
      <c r="U40" s="550" t="n">
        <v>0</v>
      </c>
      <c r="V40" s="971" t="n"/>
      <c r="W40" s="967" t="n"/>
      <c r="X40" s="533" t="inlineStr">
        <is>
          <t>Donaciones</t>
        </is>
      </c>
      <c r="Y40" s="971" t="n"/>
      <c r="Z40" s="967" t="n"/>
      <c r="AA40" s="191" t="n">
        <v>123</v>
      </c>
      <c r="AB40" s="232" t="n">
        <v>0</v>
      </c>
    </row>
    <row r="41" ht="23" customHeight="1">
      <c r="B41" s="237" t="n"/>
      <c r="C41" s="481" t="inlineStr">
        <is>
          <t>Renta líquida ordinaria año 2016 y anteriores</t>
        </is>
      </c>
      <c r="D41" s="971" t="n"/>
      <c r="E41" s="971" t="n"/>
      <c r="F41" s="971" t="n"/>
      <c r="G41" s="971" t="n"/>
      <c r="H41" s="967" t="n"/>
      <c r="I41" s="186" t="n">
        <v>106</v>
      </c>
      <c r="J41" s="545" t="n">
        <v>0</v>
      </c>
      <c r="K41" s="971" t="n"/>
      <c r="L41" s="971" t="n"/>
      <c r="M41" s="971" t="n"/>
      <c r="N41" s="971" t="n"/>
      <c r="O41" s="967" t="n"/>
      <c r="P41" s="237" t="n"/>
      <c r="Q41" s="970" t="n"/>
      <c r="R41" s="480" t="inlineStr">
        <is>
          <t>Dividendos, partic y otros</t>
        </is>
      </c>
      <c r="S41" s="967" t="n"/>
      <c r="T41" s="193" t="n">
        <v>124</v>
      </c>
      <c r="U41" s="454" t="n">
        <v>0</v>
      </c>
      <c r="V41" s="971" t="n"/>
      <c r="W41" s="967" t="n"/>
      <c r="X41" s="546" t="inlineStr">
        <is>
          <t>Total des-
cuentos trib.</t>
        </is>
      </c>
      <c r="Y41" s="971" t="n"/>
      <c r="Z41" s="967" t="n"/>
      <c r="AA41" s="501" t="n">
        <v>125</v>
      </c>
      <c r="AB41" s="233" t="n">
        <v>0</v>
      </c>
    </row>
    <row r="42" ht="23" customHeight="1">
      <c r="B42" s="237" t="n"/>
      <c r="C42" s="480" t="inlineStr">
        <is>
          <t>1a. Subcédula año 2017 y siguientes numeral 3 art. 
49 del E.T.</t>
        </is>
      </c>
      <c r="D42" s="971" t="n"/>
      <c r="E42" s="971" t="n"/>
      <c r="F42" s="971" t="n"/>
      <c r="G42" s="971" t="n"/>
      <c r="H42" s="967" t="n"/>
      <c r="I42" s="190" t="n">
        <v>107</v>
      </c>
      <c r="J42" s="479" t="n">
        <v>0</v>
      </c>
      <c r="K42" s="971" t="n"/>
      <c r="L42" s="971" t="n"/>
      <c r="M42" s="971" t="n"/>
      <c r="N42" s="971" t="n"/>
      <c r="O42" s="967" t="n"/>
      <c r="P42" s="237" t="n"/>
      <c r="Q42" s="481" t="inlineStr">
        <is>
          <t>Impuesto neto de renta</t>
        </is>
      </c>
      <c r="R42" s="971" t="n"/>
      <c r="S42" s="971" t="n"/>
      <c r="T42" s="971" t="n"/>
      <c r="U42" s="971" t="n"/>
      <c r="V42" s="971" t="n"/>
      <c r="W42" s="967" t="n"/>
      <c r="X42" s="186" t="n">
        <v>126</v>
      </c>
      <c r="Y42" s="545" t="n">
        <v>0</v>
      </c>
      <c r="Z42" s="971" t="n"/>
      <c r="AA42" s="971" t="n"/>
      <c r="AB42" s="967" t="n"/>
    </row>
    <row r="43" ht="23" customHeight="1">
      <c r="B43" s="237" t="n"/>
      <c r="C43" s="533" t="inlineStr">
        <is>
          <t>2a. Subcédula año 2017 y siguientes parágrafo 2 
art. 49 del E.T.</t>
        </is>
      </c>
      <c r="D43" s="971" t="n"/>
      <c r="E43" s="971" t="n"/>
      <c r="F43" s="971" t="n"/>
      <c r="G43" s="971" t="n"/>
      <c r="H43" s="967" t="n"/>
      <c r="I43" s="191" t="n">
        <v>108</v>
      </c>
      <c r="J43" s="545" t="n">
        <v>0</v>
      </c>
      <c r="K43" s="971" t="n"/>
      <c r="L43" s="971" t="n"/>
      <c r="M43" s="971" t="n"/>
      <c r="N43" s="971" t="n"/>
      <c r="O43" s="967" t="n"/>
      <c r="P43" s="237" t="n"/>
      <c r="Q43" s="480" t="inlineStr">
        <is>
          <t>Impuesto de ganancias ocasionales</t>
        </is>
      </c>
      <c r="R43" s="971" t="n"/>
      <c r="S43" s="971" t="n"/>
      <c r="T43" s="971" t="n"/>
      <c r="U43" s="971" t="n"/>
      <c r="V43" s="971" t="n"/>
      <c r="W43" s="967" t="n"/>
      <c r="X43" s="190" t="n">
        <v>127</v>
      </c>
      <c r="Y43" s="454" t="n">
        <v>0</v>
      </c>
      <c r="Z43" s="971" t="n"/>
      <c r="AA43" s="971" t="n"/>
      <c r="AB43" s="967" t="n"/>
    </row>
    <row r="44" ht="23" customHeight="1">
      <c r="B44" s="237" t="n"/>
      <c r="C44" s="480" t="inlineStr">
        <is>
          <t>Dividendos y participaciones recibidas del exterior</t>
        </is>
      </c>
      <c r="D44" s="971" t="n"/>
      <c r="E44" s="971" t="n"/>
      <c r="F44" s="971" t="n"/>
      <c r="G44" s="971" t="n"/>
      <c r="H44" s="967" t="n"/>
      <c r="I44" s="190" t="n">
        <v>109</v>
      </c>
      <c r="J44" s="479" t="n">
        <v>0</v>
      </c>
      <c r="K44" s="971" t="n"/>
      <c r="L44" s="971" t="n"/>
      <c r="M44" s="971" t="n"/>
      <c r="N44" s="971" t="n"/>
      <c r="O44" s="967" t="n"/>
      <c r="P44" s="237" t="n"/>
      <c r="Q44" s="533" t="inlineStr">
        <is>
          <t>Descuento por impuestos pagados en el exterior por 
ganancias ocasionales</t>
        </is>
      </c>
      <c r="R44" s="971" t="n"/>
      <c r="S44" s="971" t="n"/>
      <c r="T44" s="971" t="n"/>
      <c r="U44" s="971" t="n"/>
      <c r="V44" s="971" t="n"/>
      <c r="W44" s="967" t="n"/>
      <c r="X44" s="191" t="n">
        <v>128</v>
      </c>
      <c r="Y44" s="550" t="n">
        <v>0</v>
      </c>
      <c r="Z44" s="971" t="n"/>
      <c r="AA44" s="971" t="n"/>
      <c r="AB44" s="967" t="n"/>
    </row>
    <row r="45" ht="23" customHeight="1">
      <c r="B45" s="970" t="n"/>
      <c r="C45" s="533" t="inlineStr">
        <is>
          <t>Rentas exentas de la casilla 109</t>
        </is>
      </c>
      <c r="D45" s="971" t="n"/>
      <c r="E45" s="971" t="n"/>
      <c r="F45" s="971" t="n"/>
      <c r="G45" s="971" t="n"/>
      <c r="H45" s="967" t="n"/>
      <c r="I45" s="191" t="n">
        <v>110</v>
      </c>
      <c r="J45" s="545" t="n">
        <v>0</v>
      </c>
      <c r="K45" s="971" t="n"/>
      <c r="L45" s="971" t="n"/>
      <c r="M45" s="971" t="n"/>
      <c r="N45" s="971" t="n"/>
      <c r="O45" s="967" t="n"/>
      <c r="P45" s="237" t="n"/>
      <c r="Q45" s="546" t="inlineStr">
        <is>
          <t>Total impuesto a cargo</t>
        </is>
      </c>
      <c r="R45" s="971" t="n"/>
      <c r="S45" s="971" t="n"/>
      <c r="T45" s="971" t="n"/>
      <c r="U45" s="971" t="n"/>
      <c r="V45" s="971" t="n"/>
      <c r="W45" s="967" t="n"/>
      <c r="X45" s="501" t="n">
        <v>129</v>
      </c>
      <c r="Y45" s="479" t="n">
        <v>0</v>
      </c>
      <c r="Z45" s="971" t="n"/>
      <c r="AA45" s="971" t="n"/>
      <c r="AB45" s="967" t="n"/>
    </row>
    <row r="46" ht="27" customHeight="1">
      <c r="B46" s="984" t="inlineStr">
        <is>
          <t>Renta liquida gravable (Cédula general o renta presuntiva, de pensiones y de dividendos y participaciones, art.241 E.T.)</t>
        </is>
      </c>
      <c r="C46" s="971" t="n"/>
      <c r="D46" s="971" t="n"/>
      <c r="E46" s="971" t="n"/>
      <c r="F46" s="971" t="n"/>
      <c r="G46" s="971" t="n"/>
      <c r="H46" s="967" t="n"/>
      <c r="I46" s="334" t="n">
        <v>111</v>
      </c>
      <c r="J46" s="453" t="n">
        <v>0</v>
      </c>
      <c r="K46" s="971" t="n"/>
      <c r="L46" s="971" t="n"/>
      <c r="M46" s="971" t="n"/>
      <c r="N46" s="971" t="n"/>
      <c r="O46" s="967" t="n"/>
      <c r="P46" s="237" t="n"/>
      <c r="Q46" s="533" t="inlineStr">
        <is>
          <t>Anticipo renta liquidado año gravable anterior</t>
        </is>
      </c>
      <c r="R46" s="971" t="n"/>
      <c r="S46" s="971" t="n"/>
      <c r="T46" s="971" t="n"/>
      <c r="U46" s="971" t="n"/>
      <c r="V46" s="971" t="n"/>
      <c r="W46" s="967" t="n"/>
      <c r="X46" s="191" t="n">
        <v>130</v>
      </c>
      <c r="Y46" s="550" t="n">
        <v>0</v>
      </c>
      <c r="Z46" s="971" t="n"/>
      <c r="AA46" s="971" t="n"/>
      <c r="AB46" s="967" t="n"/>
      <c r="AC46" s="976" t="n"/>
    </row>
    <row r="47" ht="23" customHeight="1">
      <c r="B47" s="583" t="inlineStr">
        <is>
          <t>Ganancias
ocasionales</t>
        </is>
      </c>
      <c r="C47" s="480" t="inlineStr">
        <is>
          <t>Ingresos por ganancias ocasionales en el país y del exterior</t>
        </is>
      </c>
      <c r="D47" s="971" t="n"/>
      <c r="E47" s="971" t="n"/>
      <c r="F47" s="971" t="n"/>
      <c r="G47" s="971" t="n"/>
      <c r="H47" s="967" t="n"/>
      <c r="I47" s="501" t="n">
        <v>112</v>
      </c>
      <c r="J47" s="479" t="n">
        <v>0</v>
      </c>
      <c r="K47" s="971" t="n"/>
      <c r="L47" s="971" t="n"/>
      <c r="M47" s="971" t="n"/>
      <c r="N47" s="971" t="n"/>
      <c r="O47" s="967" t="n"/>
      <c r="P47" s="237" t="n"/>
      <c r="Q47" s="480" t="inlineStr">
        <is>
          <t>Saldo a favor del año gravable anterior sin solicitud de 
devolución y/o compensación</t>
        </is>
      </c>
      <c r="R47" s="971" t="n"/>
      <c r="S47" s="971" t="n"/>
      <c r="T47" s="971" t="n"/>
      <c r="U47" s="971" t="n"/>
      <c r="V47" s="971" t="n"/>
      <c r="W47" s="967" t="n"/>
      <c r="X47" s="190" t="n">
        <v>131</v>
      </c>
      <c r="Y47" s="454" t="n">
        <v>0</v>
      </c>
      <c r="Z47" s="971" t="n"/>
      <c r="AA47" s="971" t="n"/>
      <c r="AB47" s="967" t="n"/>
      <c r="AC47" s="985" t="n"/>
    </row>
    <row r="48" ht="23" customHeight="1">
      <c r="B48" s="237" t="n"/>
      <c r="C48" s="533" t="inlineStr">
        <is>
          <t>Costos por ganancias ocasionales</t>
        </is>
      </c>
      <c r="D48" s="971" t="n"/>
      <c r="E48" s="971" t="n"/>
      <c r="F48" s="971" t="n"/>
      <c r="G48" s="971" t="n"/>
      <c r="H48" s="967" t="n"/>
      <c r="I48" s="191" t="n">
        <v>113</v>
      </c>
      <c r="J48" s="545" t="n">
        <v>0</v>
      </c>
      <c r="K48" s="971" t="n"/>
      <c r="L48" s="971" t="n"/>
      <c r="M48" s="971" t="n"/>
      <c r="N48" s="971" t="n"/>
      <c r="O48" s="967" t="n"/>
      <c r="P48" s="237" t="n"/>
      <c r="Q48" s="533" t="inlineStr">
        <is>
          <t>Retenciones año gravable a declarar</t>
        </is>
      </c>
      <c r="R48" s="971" t="n"/>
      <c r="S48" s="971" t="n"/>
      <c r="T48" s="971" t="n"/>
      <c r="U48" s="971" t="n"/>
      <c r="V48" s="971" t="n"/>
      <c r="W48" s="967" t="n"/>
      <c r="X48" s="191" t="n">
        <v>132</v>
      </c>
      <c r="Y48" s="550" t="n">
        <v>0</v>
      </c>
      <c r="Z48" s="971" t="n"/>
      <c r="AA48" s="971" t="n"/>
      <c r="AB48" s="967" t="n"/>
    </row>
    <row r="49" ht="23" customHeight="1">
      <c r="B49" s="237" t="n"/>
      <c r="C49" s="480" t="inlineStr">
        <is>
          <t>Ganancias ocasionales no gravadas y exentas</t>
        </is>
      </c>
      <c r="D49" s="971" t="n"/>
      <c r="E49" s="971" t="n"/>
      <c r="F49" s="971" t="n"/>
      <c r="G49" s="971" t="n"/>
      <c r="H49" s="967" t="n"/>
      <c r="I49" s="190" t="n">
        <v>114</v>
      </c>
      <c r="J49" s="630" t="n">
        <v>0</v>
      </c>
      <c r="K49" s="971" t="n"/>
      <c r="L49" s="971" t="n"/>
      <c r="M49" s="971" t="n"/>
      <c r="N49" s="971" t="n"/>
      <c r="O49" s="967" t="n"/>
      <c r="P49" s="970" t="n"/>
      <c r="Q49" s="480" t="inlineStr">
        <is>
          <t>Anticipo renta para el año gravable siguiente</t>
        </is>
      </c>
      <c r="R49" s="971" t="n"/>
      <c r="S49" s="971" t="n"/>
      <c r="T49" s="971" t="n"/>
      <c r="U49" s="971" t="n"/>
      <c r="V49" s="971" t="n"/>
      <c r="W49" s="967" t="n"/>
      <c r="X49" s="190" t="n">
        <v>133</v>
      </c>
      <c r="Y49" s="596" t="n">
        <v>0</v>
      </c>
      <c r="Z49" s="971" t="n"/>
      <c r="AA49" s="971" t="n"/>
      <c r="AB49" s="967" t="n"/>
    </row>
    <row r="50" ht="23" customHeight="1">
      <c r="B50" s="970" t="n"/>
      <c r="C50" s="546" t="inlineStr">
        <is>
          <t>Ganancias ocasionales gravables</t>
        </is>
      </c>
      <c r="D50" s="971" t="n"/>
      <c r="E50" s="971" t="n"/>
      <c r="F50" s="971" t="n"/>
      <c r="G50" s="971" t="n"/>
      <c r="H50" s="967" t="n"/>
      <c r="I50" s="190" t="n">
        <v>115</v>
      </c>
      <c r="J50" s="479" t="n">
        <v>0</v>
      </c>
      <c r="K50" s="971" t="n"/>
      <c r="L50" s="971" t="n"/>
      <c r="M50" s="971" t="n"/>
      <c r="N50" s="971" t="n"/>
      <c r="O50" s="967" t="n"/>
      <c r="P50" s="583" t="n"/>
      <c r="Q50" s="971" t="n"/>
      <c r="R50" s="971" t="n"/>
      <c r="S50" s="971" t="n"/>
      <c r="T50" s="971" t="n"/>
      <c r="U50" s="971" t="n"/>
      <c r="V50" s="971" t="n"/>
      <c r="W50" s="971" t="n"/>
      <c r="X50" s="971" t="n"/>
      <c r="Y50" s="971" t="n"/>
      <c r="Z50" s="971" t="n"/>
      <c r="AA50" s="971" t="n"/>
      <c r="AB50" s="967" t="n"/>
    </row>
    <row r="51" ht="23" customHeight="1">
      <c r="B51" s="187" t="inlineStr">
        <is>
          <t>Saldo a pagar
por impuesto</t>
        </is>
      </c>
      <c r="C51" s="971" t="n"/>
      <c r="D51" s="967" t="n"/>
      <c r="E51" s="189" t="n">
        <v>134</v>
      </c>
      <c r="F51" s="550" t="n">
        <v>0</v>
      </c>
      <c r="G51" s="971" t="n"/>
      <c r="H51" s="967" t="n"/>
      <c r="I51" s="188" t="inlineStr">
        <is>
          <t>Sanciones</t>
        </is>
      </c>
      <c r="J51" s="971" t="n"/>
      <c r="K51" s="967" t="n"/>
      <c r="L51" s="188" t="n">
        <v>135</v>
      </c>
      <c r="M51" s="986" t="n">
        <v>0</v>
      </c>
      <c r="N51" s="971" t="n"/>
      <c r="O51" s="967" t="n"/>
      <c r="P51" s="569" t="inlineStr">
        <is>
          <t>Total Saldo a pagar</t>
        </is>
      </c>
      <c r="Q51" s="971" t="n"/>
      <c r="R51" s="971" t="n"/>
      <c r="S51" s="967" t="n"/>
      <c r="T51" s="187" t="n">
        <v>136</v>
      </c>
      <c r="U51" s="545" t="n">
        <v>0</v>
      </c>
      <c r="V51" s="971" t="n"/>
      <c r="W51" s="967" t="n"/>
      <c r="X51" s="481" t="inlineStr">
        <is>
          <t>Total saldo
a favor</t>
        </is>
      </c>
      <c r="Y51" s="971" t="n"/>
      <c r="Z51" s="967" t="n"/>
      <c r="AA51" s="186" t="n">
        <v>137</v>
      </c>
      <c r="AB51" s="550" t="n">
        <v>0</v>
      </c>
    </row>
    <row r="52" ht="34.5" customHeight="1">
      <c r="B52" s="987" t="inlineStr">
        <is>
          <t>Número de dependientes economicos</t>
        </is>
      </c>
      <c r="C52" s="971" t="n"/>
      <c r="D52" s="967" t="n"/>
      <c r="E52" s="335" t="n">
        <v>138</v>
      </c>
      <c r="F52" s="606" t="n">
        <v>0</v>
      </c>
      <c r="G52" s="971" t="n"/>
      <c r="H52" s="967" t="n"/>
      <c r="I52" s="336" t="inlineStr">
        <is>
          <t>Adición por dependientes a la casilla 92</t>
        </is>
      </c>
      <c r="J52" s="971" t="n"/>
      <c r="K52" s="967" t="n"/>
      <c r="L52" s="336" t="n">
        <v>139</v>
      </c>
      <c r="M52" s="610" t="n">
        <v>0</v>
      </c>
      <c r="N52" s="971" t="n"/>
      <c r="O52" s="967" t="n"/>
      <c r="P52" s="613" t="inlineStr">
        <is>
          <t>Ud. Superó tope indicativo art.336-1 del ET, marque X</t>
        </is>
      </c>
      <c r="Q52" s="971" t="n"/>
      <c r="R52" s="971" t="n"/>
      <c r="S52" s="967" t="n"/>
      <c r="T52" s="337" t="n">
        <v>140</v>
      </c>
      <c r="U52" s="453" t="n"/>
      <c r="V52" s="971" t="n"/>
      <c r="W52" s="967" t="n"/>
      <c r="X52" s="613" t="inlineStr">
        <is>
          <t>Aporte voluntario</t>
        </is>
      </c>
      <c r="Y52" s="971" t="n"/>
      <c r="Z52" s="967" t="n"/>
      <c r="AA52" s="338" t="n">
        <v>141</v>
      </c>
      <c r="AB52" s="610" t="n">
        <v>0</v>
      </c>
    </row>
    <row r="53">
      <c r="F53" s="454" t="n"/>
      <c r="G53" s="971" t="n"/>
      <c r="H53" s="967" t="n"/>
      <c r="V53" s="988" t="n"/>
    </row>
    <row r="57">
      <c r="O57" s="989" t="n"/>
    </row>
    <row r="58">
      <c r="O58" s="989" t="n"/>
    </row>
    <row r="59">
      <c r="O59" s="989" t="n"/>
    </row>
    <row r="60">
      <c r="O60" s="989" t="n"/>
    </row>
  </sheetData>
  <mergeCells count="231">
    <mergeCell ref="Y46:AB46"/>
    <mergeCell ref="C21:C23"/>
    <mergeCell ref="Q49:W49"/>
    <mergeCell ref="H27:K27"/>
    <mergeCell ref="F33:H33"/>
    <mergeCell ref="Z18:AB18"/>
    <mergeCell ref="W32:Y32"/>
    <mergeCell ref="S13:U13"/>
    <mergeCell ref="S28:X28"/>
    <mergeCell ref="Y48:AB48"/>
    <mergeCell ref="L10:P11"/>
    <mergeCell ref="H24:K24"/>
    <mergeCell ref="V10:Y11"/>
    <mergeCell ref="Z17:AB17"/>
    <mergeCell ref="R35:W35"/>
    <mergeCell ref="J41:O41"/>
    <mergeCell ref="H26:K26"/>
    <mergeCell ref="AH20:AI20"/>
    <mergeCell ref="Y47:AB47"/>
    <mergeCell ref="AA33:AB33"/>
    <mergeCell ref="C39:H39"/>
    <mergeCell ref="X51:Z51"/>
    <mergeCell ref="Y38:AB38"/>
    <mergeCell ref="C15:F15"/>
    <mergeCell ref="C48:H48"/>
    <mergeCell ref="Y43:AB43"/>
    <mergeCell ref="Z20:AB20"/>
    <mergeCell ref="C24:C26"/>
    <mergeCell ref="J43:O43"/>
    <mergeCell ref="Q40:Q41"/>
    <mergeCell ref="S29:X29"/>
    <mergeCell ref="U51:W51"/>
    <mergeCell ref="C38:H38"/>
    <mergeCell ref="D23:F23"/>
    <mergeCell ref="M21:Q21"/>
    <mergeCell ref="J42:O42"/>
    <mergeCell ref="P32:Q32"/>
    <mergeCell ref="Z31:AB31"/>
    <mergeCell ref="V2:Z5"/>
    <mergeCell ref="S31:X31"/>
    <mergeCell ref="R41:S41"/>
    <mergeCell ref="P13:Q13"/>
    <mergeCell ref="M27:Q27"/>
    <mergeCell ref="R39:W39"/>
    <mergeCell ref="B6:O8"/>
    <mergeCell ref="J44:O44"/>
    <mergeCell ref="S21:X21"/>
    <mergeCell ref="P12:T12"/>
    <mergeCell ref="M24:Q24"/>
    <mergeCell ref="G20:Q20"/>
    <mergeCell ref="M52:O52"/>
    <mergeCell ref="B13:E13"/>
    <mergeCell ref="Y34:AB34"/>
    <mergeCell ref="P33:Q33"/>
    <mergeCell ref="Z26:AB26"/>
    <mergeCell ref="V13:X13"/>
    <mergeCell ref="C27:F27"/>
    <mergeCell ref="Q10:U11"/>
    <mergeCell ref="F51:H51"/>
    <mergeCell ref="B14:B33"/>
    <mergeCell ref="B39:B45"/>
    <mergeCell ref="C41:H41"/>
    <mergeCell ref="G12:H12"/>
    <mergeCell ref="Y36:AB36"/>
    <mergeCell ref="C17:F17"/>
    <mergeCell ref="C50:H50"/>
    <mergeCell ref="Y45:AB45"/>
    <mergeCell ref="R37:W37"/>
    <mergeCell ref="L14:Q14"/>
    <mergeCell ref="AH18:AI18"/>
    <mergeCell ref="C43:H43"/>
    <mergeCell ref="C19:F19"/>
    <mergeCell ref="H15:K15"/>
    <mergeCell ref="C28:F28"/>
    <mergeCell ref="H23:K23"/>
    <mergeCell ref="S19:X19"/>
    <mergeCell ref="AH17:AI17"/>
    <mergeCell ref="R14:X14"/>
    <mergeCell ref="C36:H36"/>
    <mergeCell ref="I32:J32"/>
    <mergeCell ref="X41:Z41"/>
    <mergeCell ref="Y42:AB42"/>
    <mergeCell ref="C30:F30"/>
    <mergeCell ref="AH19:AI19"/>
    <mergeCell ref="J47:O47"/>
    <mergeCell ref="M22:Q22"/>
    <mergeCell ref="S30:X30"/>
    <mergeCell ref="D25:F25"/>
    <mergeCell ref="M31:Q31"/>
    <mergeCell ref="I51:K51"/>
    <mergeCell ref="C14:F14"/>
    <mergeCell ref="C9:J9"/>
    <mergeCell ref="Z19:AB19"/>
    <mergeCell ref="Q42:W42"/>
    <mergeCell ref="S20:X20"/>
    <mergeCell ref="Z28:AB28"/>
    <mergeCell ref="G28:K30"/>
    <mergeCell ref="G16:X16"/>
    <mergeCell ref="M15:Q15"/>
    <mergeCell ref="C37:H37"/>
    <mergeCell ref="W12:AA12"/>
    <mergeCell ref="H25:K25"/>
    <mergeCell ref="I33:J33"/>
    <mergeCell ref="G14:K14"/>
    <mergeCell ref="P52:S52"/>
    <mergeCell ref="U40:W40"/>
    <mergeCell ref="S22:X22"/>
    <mergeCell ref="Z30:AB30"/>
    <mergeCell ref="M26:Q26"/>
    <mergeCell ref="L9:P9"/>
    <mergeCell ref="V9:Y9"/>
    <mergeCell ref="W33:Y33"/>
    <mergeCell ref="X52:Z52"/>
    <mergeCell ref="H17:K17"/>
    <mergeCell ref="M29:Q29"/>
    <mergeCell ref="M23:Q23"/>
    <mergeCell ref="B2:F5"/>
    <mergeCell ref="D21:F21"/>
    <mergeCell ref="J34:O34"/>
    <mergeCell ref="H19:K19"/>
    <mergeCell ref="S33:V33"/>
    <mergeCell ref="Q46:W46"/>
    <mergeCell ref="Y49:AB49"/>
    <mergeCell ref="J49:O49"/>
    <mergeCell ref="B47:B50"/>
    <mergeCell ref="C40:H40"/>
    <mergeCell ref="F32:H32"/>
    <mergeCell ref="J36:O36"/>
    <mergeCell ref="J45:O45"/>
    <mergeCell ref="Q48:W48"/>
    <mergeCell ref="AH14:AI14"/>
    <mergeCell ref="Q45:W45"/>
    <mergeCell ref="C18:F18"/>
    <mergeCell ref="S24:X24"/>
    <mergeCell ref="I52:K52"/>
    <mergeCell ref="Q47:W47"/>
    <mergeCell ref="U52:W52"/>
    <mergeCell ref="AA2:AB5"/>
    <mergeCell ref="P51:S51"/>
    <mergeCell ref="F52:H52"/>
    <mergeCell ref="L32:O32"/>
    <mergeCell ref="Q43:W43"/>
    <mergeCell ref="B51:D51"/>
    <mergeCell ref="B46:H46"/>
    <mergeCell ref="J46:O46"/>
    <mergeCell ref="G2:U5"/>
    <mergeCell ref="U12:V12"/>
    <mergeCell ref="Z24:AB24"/>
    <mergeCell ref="M30:Q30"/>
    <mergeCell ref="P50:AB50"/>
    <mergeCell ref="Y39:AB39"/>
    <mergeCell ref="C20:F20"/>
    <mergeCell ref="AC19:AG19"/>
    <mergeCell ref="C29:F29"/>
    <mergeCell ref="M28:Q28"/>
    <mergeCell ref="J48:O48"/>
    <mergeCell ref="C34:H34"/>
    <mergeCell ref="F53:H53"/>
    <mergeCell ref="AA32:AB32"/>
    <mergeCell ref="L33:O33"/>
    <mergeCell ref="K10:K11"/>
    <mergeCell ref="J38:O38"/>
    <mergeCell ref="Z27:AB27"/>
    <mergeCell ref="C32:D32"/>
    <mergeCell ref="C31:F31"/>
    <mergeCell ref="Z10:AB11"/>
    <mergeCell ref="C45:H45"/>
    <mergeCell ref="D22:F22"/>
    <mergeCell ref="J40:O40"/>
    <mergeCell ref="M51:O51"/>
    <mergeCell ref="Y37:AB37"/>
    <mergeCell ref="R34:W34"/>
    <mergeCell ref="Q44:W44"/>
    <mergeCell ref="H22:K22"/>
    <mergeCell ref="C47:H47"/>
    <mergeCell ref="Z22:AB22"/>
    <mergeCell ref="C44:H44"/>
    <mergeCell ref="C33:D33"/>
    <mergeCell ref="U41:W41"/>
    <mergeCell ref="S23:X23"/>
    <mergeCell ref="B34:B38"/>
    <mergeCell ref="R36:W36"/>
    <mergeCell ref="J35:O35"/>
    <mergeCell ref="Z21:AB21"/>
    <mergeCell ref="S32:V32"/>
    <mergeCell ref="R40:S40"/>
    <mergeCell ref="Z29:AB29"/>
    <mergeCell ref="S15:X15"/>
    <mergeCell ref="Z23:AB23"/>
    <mergeCell ref="Z13:AB13"/>
    <mergeCell ref="J50:O50"/>
    <mergeCell ref="G18:K18"/>
    <mergeCell ref="D24:F24"/>
    <mergeCell ref="L13:O13"/>
    <mergeCell ref="M25:Q25"/>
    <mergeCell ref="H31:K31"/>
    <mergeCell ref="AH15:AI15"/>
    <mergeCell ref="Z15:AB15"/>
    <mergeCell ref="S26:X26"/>
    <mergeCell ref="Q34:Q39"/>
    <mergeCell ref="Y35:AB35"/>
    <mergeCell ref="C16:F16"/>
    <mergeCell ref="C49:H49"/>
    <mergeCell ref="D26:F26"/>
    <mergeCell ref="J39:O39"/>
    <mergeCell ref="Y44:AB44"/>
    <mergeCell ref="P34:P49"/>
    <mergeCell ref="M18:Q18"/>
    <mergeCell ref="Q9:U9"/>
    <mergeCell ref="F13:J13"/>
    <mergeCell ref="H21:K21"/>
    <mergeCell ref="S25:X25"/>
    <mergeCell ref="P6:AB8"/>
    <mergeCell ref="Y14:AB14"/>
    <mergeCell ref="X40:Z40"/>
    <mergeCell ref="R38:W38"/>
    <mergeCell ref="M17:Q17"/>
    <mergeCell ref="C42:H42"/>
    <mergeCell ref="J37:O37"/>
    <mergeCell ref="AH7:AI7"/>
    <mergeCell ref="S27:X27"/>
    <mergeCell ref="AH16:AI16"/>
    <mergeCell ref="S18:X18"/>
    <mergeCell ref="C10:J11"/>
    <mergeCell ref="B9:B11"/>
    <mergeCell ref="B52:D52"/>
    <mergeCell ref="C35:H35"/>
    <mergeCell ref="M19:Q19"/>
    <mergeCell ref="Z16:AB16"/>
    <mergeCell ref="S17:X17"/>
    <mergeCell ref="Z25:AB25"/>
  </mergeCells>
  <pageMargins left="0.7" right="0.7" top="0.75" bottom="0.75" header="0.3" footer="0.3"/>
  <pageSetup orientation="portrait" horizontalDpi="300" verticalDpi="300"/>
  <drawing xmlns:r="http://schemas.openxmlformats.org/officeDocument/2006/relationships" r:id="rId1"/>
</worksheet>
</file>

<file path=xl/worksheets/sheet5.xml><?xml version="1.0" encoding="utf-8"?>
<worksheet xmlns="http://schemas.openxmlformats.org/spreadsheetml/2006/main">
  <sheetPr codeName="Hoja2">
    <tabColor rgb="FF0070C0"/>
    <outlinePr summaryBelow="1" summaryRight="1"/>
    <pageSetUpPr/>
  </sheetPr>
  <dimension ref="A1:E29"/>
  <sheetViews>
    <sheetView showGridLines="0" tabSelected="1" zoomScale="130" zoomScaleNormal="130" workbookViewId="0">
      <pane ySplit="2" topLeftCell="A3" activePane="bottomLeft" state="frozen"/>
      <selection pane="bottomLeft" activeCell="C21" sqref="C20:C21"/>
    </sheetView>
  </sheetViews>
  <sheetFormatPr baseColWidth="10" defaultColWidth="0" defaultRowHeight="16" zeroHeight="1"/>
  <cols>
    <col width="5.33203125" customWidth="1" min="1" max="1"/>
    <col width="115.5" customWidth="1" min="2" max="2"/>
    <col width="25.83203125" customWidth="1" style="9" min="3" max="3"/>
    <col width="22" customWidth="1" min="4" max="4"/>
    <col hidden="1" width="52.5" customWidth="1" min="5" max="5"/>
    <col hidden="1" width="16.1640625" customWidth="1" min="6" max="6"/>
    <col hidden="1" width="16.5" customWidth="1" min="7" max="7"/>
    <col hidden="1" width="15.5" customWidth="1" min="8" max="18"/>
    <col hidden="1" width="19.1640625" customWidth="1" min="19" max="19"/>
    <col hidden="1" width="19.5" customWidth="1" min="20" max="20"/>
    <col hidden="1" width="28" customWidth="1" min="21" max="21"/>
    <col hidden="1" width="11.5" customWidth="1" min="22" max="16381"/>
    <col width="6" customWidth="1" min="16382" max="16384"/>
  </cols>
  <sheetData>
    <row r="1" ht="21" customFormat="1" customHeight="1" s="10">
      <c r="B1" s="990" t="inlineStr">
        <is>
          <t>Renta Líquida por Comparación Patrimonial</t>
        </is>
      </c>
      <c r="C1" s="959" t="n"/>
      <c r="D1" s="11" t="n"/>
      <c r="E1" s="11" t="n"/>
    </row>
    <row r="2" ht="18.75" customFormat="1" customHeight="1" s="10">
      <c r="B2" s="991" t="inlineStr">
        <is>
          <t>Procedimiento para su Determinación</t>
        </is>
      </c>
      <c r="C2" s="965" t="n"/>
      <c r="D2" s="11" t="n"/>
      <c r="E2" s="11" t="n"/>
    </row>
    <row r="3" ht="17" customFormat="1" customHeight="1" s="10">
      <c r="B3" s="641" t="inlineStr">
        <is>
          <t>Concepto</t>
        </is>
      </c>
      <c r="C3" s="641" t="inlineStr">
        <is>
          <t>Valores</t>
        </is>
      </c>
      <c r="D3" s="12" t="n"/>
      <c r="E3" s="12" t="n"/>
    </row>
    <row r="4" ht="17" customFormat="1" customHeight="1" s="10">
      <c r="B4" s="1" t="inlineStr">
        <is>
          <t>Patrimonio líquido del año gravable corriente</t>
        </is>
      </c>
      <c r="C4" s="8">
        <f>'FORMULARIO 210'!Z13</f>
        <v/>
      </c>
      <c r="D4" s="17" t="n"/>
      <c r="E4" s="12" t="n"/>
    </row>
    <row r="5" ht="17" customFormat="1" customHeight="1" s="10">
      <c r="A5" s="19" t="inlineStr">
        <is>
          <t>( + )</t>
        </is>
      </c>
      <c r="B5" s="7" t="inlineStr">
        <is>
          <t>Desvalorizaciones</t>
        </is>
      </c>
      <c r="C5" s="322" t="n">
        <v>0</v>
      </c>
      <c r="D5" s="17" t="n"/>
      <c r="E5" s="12" t="n"/>
    </row>
    <row r="6" ht="17" customFormat="1" customHeight="1" s="10">
      <c r="A6" s="19" t="inlineStr">
        <is>
          <t>( - )</t>
        </is>
      </c>
      <c r="B6" s="7" t="inlineStr">
        <is>
          <t>Valorizaciones</t>
        </is>
      </c>
      <c r="C6" s="13">
        <f>'Pat bruto'!H119</f>
        <v/>
      </c>
      <c r="D6" s="12" t="n"/>
      <c r="E6" s="12" t="n"/>
    </row>
    <row r="7" ht="17" customFormat="1" customHeight="1" s="10">
      <c r="A7" s="15" t="inlineStr">
        <is>
          <t>( - )</t>
        </is>
      </c>
      <c r="B7" s="1" t="inlineStr">
        <is>
          <t>Patrimonio líquido del año gravable anterior</t>
        </is>
      </c>
      <c r="C7" s="8">
        <f>'renta presunt'!E6</f>
        <v/>
      </c>
      <c r="D7" s="17" t="n"/>
      <c r="E7" s="12" t="n"/>
    </row>
    <row r="8" ht="17" customFormat="1" customHeight="1" s="10">
      <c r="A8" s="15" t="inlineStr">
        <is>
          <t>( = )</t>
        </is>
      </c>
      <c r="B8" s="14" t="inlineStr">
        <is>
          <t>Variación por comparación patrimonial</t>
        </is>
      </c>
      <c r="C8" s="8">
        <f>IF(C4+C5-C6-C7&gt;0,C4+C5-C6-C7,0)</f>
        <v/>
      </c>
      <c r="D8" s="992" t="n"/>
      <c r="E8" s="12" t="n"/>
    </row>
    <row r="9" customFormat="1" s="10">
      <c r="B9" s="643" t="inlineStr">
        <is>
          <t>Posteriormente</t>
        </is>
      </c>
      <c r="C9" s="967" t="n"/>
      <c r="D9" s="17" t="n"/>
      <c r="E9" s="12" t="n"/>
    </row>
    <row r="10" customFormat="1" s="10">
      <c r="B10" s="644" t="inlineStr">
        <is>
          <t>Ajuste de las Rentas</t>
        </is>
      </c>
      <c r="C10" s="967" t="n"/>
      <c r="D10" s="993" t="n"/>
      <c r="E10" s="12" t="n"/>
    </row>
    <row r="11" ht="17" customFormat="1" customHeight="1" s="10">
      <c r="B11" s="1" t="inlineStr">
        <is>
          <t>Valor de las Rentas líquidas Cedulares antes de compensaciones</t>
        </is>
      </c>
      <c r="C11" s="8">
        <f>'FORMULARIO 210'!S32+'FORMULARIO 210'!J38+'FORMULARIO 210'!J41+'FORMULARIO 210'!J42+'FORMULARIO 210'!J43+'FORMULARIO 210'!J44</f>
        <v/>
      </c>
      <c r="D11" s="12" t="n"/>
      <c r="E11" s="12" t="n"/>
    </row>
    <row r="12" ht="17" customFormat="1" customHeight="1" s="10">
      <c r="A12" s="19" t="inlineStr">
        <is>
          <t>( + )</t>
        </is>
      </c>
      <c r="B12" s="7" t="inlineStr">
        <is>
          <t>Rentas exentas (sin límite) y ganancias ocasionales exentas y no gravadas</t>
        </is>
      </c>
      <c r="C12" s="13">
        <f>'FORMULARIO 210'!H23+'FORMULARIO 210'!M23+'FORMULARIO 210'!S23+'FORMULARIO 210'!Z23+'FORMULARIO 210'!J37+'FORMULARIO 210'!J45+'FORMULARIO 210'!J50</f>
        <v/>
      </c>
      <c r="D12" s="17" t="n"/>
      <c r="E12" s="12" t="n"/>
    </row>
    <row r="13" ht="17" customFormat="1" customHeight="1" s="10">
      <c r="A13" s="19" t="inlineStr">
        <is>
          <t>( + )</t>
        </is>
      </c>
      <c r="B13" s="7" t="inlineStr">
        <is>
          <t>Ingresos no constitutivos de renta ni ganancia ocasional</t>
        </is>
      </c>
      <c r="C13" s="13">
        <f>'FORMULARIO 210'!H17+'FORMULARIO 210'!M17+'FORMULARIO 210'!S17+'FORMULARIO 210'!Z17+'FORMULARIO 210'!J35+'FORMULARIO 210'!J40</f>
        <v/>
      </c>
      <c r="D13" s="17" t="n"/>
      <c r="E13" s="12" t="n"/>
    </row>
    <row r="14" ht="17" customFormat="1" customHeight="1" s="10">
      <c r="A14" s="19" t="inlineStr">
        <is>
          <t>( + )</t>
        </is>
      </c>
      <c r="B14" s="7" t="inlineStr">
        <is>
          <t>Ganancias ocasionales netas (ingreso por ganancia ocasional - costos por ganancia ocasional)</t>
        </is>
      </c>
      <c r="C14" s="13" t="n">
        <v>0</v>
      </c>
      <c r="D14" s="12" t="n"/>
      <c r="E14" s="12" t="n"/>
    </row>
    <row r="15" ht="17" customFormat="1" customHeight="1" s="10">
      <c r="A15" s="19" t="inlineStr">
        <is>
          <t>( - )</t>
        </is>
      </c>
      <c r="B15" s="7" t="inlineStr">
        <is>
          <t>Impuestos y anticipos pagados en el año gravable</t>
        </is>
      </c>
      <c r="C15" s="323" t="n"/>
      <c r="D15" s="12" t="n"/>
      <c r="E15" s="12" t="n"/>
    </row>
    <row r="16" ht="17" customFormat="1" customHeight="1" s="10">
      <c r="A16" s="19" t="inlineStr">
        <is>
          <t>( - )</t>
        </is>
      </c>
      <c r="B16" s="7" t="inlineStr">
        <is>
          <t>Retenciones en la fuente practicadas en el año gravable</t>
        </is>
      </c>
      <c r="C16" s="13">
        <f>'FORMULARIO 210'!Y48</f>
        <v/>
      </c>
      <c r="D16" s="12" t="n"/>
      <c r="E16" s="12" t="n"/>
    </row>
    <row r="17" ht="17" customFormat="1" customHeight="1" s="10">
      <c r="A17" s="15" t="inlineStr">
        <is>
          <t>( = )</t>
        </is>
      </c>
      <c r="B17" s="14" t="inlineStr">
        <is>
          <t>Valor de las rentas ajustadas</t>
        </is>
      </c>
      <c r="C17" s="8">
        <f>((C11+'rta x comp patr'!C12+C13+C14)-(C15+C16))</f>
        <v/>
      </c>
      <c r="D17" s="17" t="n"/>
      <c r="E17" s="12" t="n"/>
    </row>
    <row r="18" customFormat="1" s="10">
      <c r="B18" s="641" t="inlineStr">
        <is>
          <t>Resultado</t>
        </is>
      </c>
      <c r="C18" s="967" t="n"/>
    </row>
    <row r="19" customFormat="1" s="10">
      <c r="B19" s="20" t="inlineStr">
        <is>
          <t>Variación por comparacion patrimonial</t>
        </is>
      </c>
      <c r="C19" s="994">
        <f>+C8</f>
        <v/>
      </c>
    </row>
    <row r="20" customFormat="1" s="10">
      <c r="B20" s="20" t="inlineStr">
        <is>
          <t>Valor rentas ajustadas</t>
        </is>
      </c>
      <c r="C20" s="994">
        <f>IF(OR(C11&lt;0,ISTEXT(C11),'rta x comp patr'!C12&lt;0,ISTEXT('rta x comp patr'!C12),C13&lt;0,ISTEXT(C13),C14&lt;0,ISTEXT(C14),C15&lt;0,ISTEXT(C15),C16&lt;0,ISTEXT(C16)), "Por favor ingrese valores positivos en la celdas B18 a B23.",C11+'rta x comp patr'!C12+C13+C14-C15-C16)</f>
        <v/>
      </c>
    </row>
    <row r="21" customFormat="1" s="10">
      <c r="B21" s="20" t="inlineStr">
        <is>
          <t>Incremento patrimonial no justificado</t>
        </is>
      </c>
      <c r="C21" s="994">
        <f>IF(C19&gt;C20,C19-C20,0)</f>
        <v/>
      </c>
      <c r="D21" s="995" t="n"/>
    </row>
    <row r="22" ht="45" customFormat="1" customHeight="1" s="10">
      <c r="B22" s="642">
        <f>IF(C20&gt;C19,B27,IF(C20&lt;C19,B29,IF(C20=C19,B25,0)))</f>
        <v/>
      </c>
      <c r="C22" s="967" t="n"/>
    </row>
    <row r="23" hidden="1" ht="15" customFormat="1" customHeight="1" s="10"/>
    <row r="24" hidden="1" customFormat="1" s="10">
      <c r="B24" s="645" t="inlineStr">
        <is>
          <t>Variación patrimonial = Rentas ajustadas</t>
        </is>
      </c>
      <c r="C24" s="967" t="n"/>
    </row>
    <row r="25" hidden="1" ht="30.75" customFormat="1" customHeight="1" s="10">
      <c r="B25" s="646" t="inlineStr">
        <is>
          <t>Esta es la situación ideal, ya que se ve reflejado de manera clara los ingresos con los cuales fue posible comprar bienes y derechos que incrementaron el patrimonio líquido. No hay renta por comparación patrimonial</t>
        </is>
      </c>
      <c r="C25" s="967" t="n"/>
    </row>
    <row r="26" hidden="1" customFormat="1" s="10">
      <c r="B26" s="645" t="inlineStr">
        <is>
          <t>Variación patrimonial &lt; Rentas ajustadas</t>
        </is>
      </c>
      <c r="C26" s="967" t="n"/>
    </row>
    <row r="27" hidden="1" ht="30" customHeight="1">
      <c r="B27" s="647" t="inlineStr">
        <is>
          <t>Esta situación también es buena para el contribuyente ya que la Autoridad Fiscal no cuestiona el porque no se invirtieron todos los ingresos en activos para incrementar el patrimonio líquido. No hay renta por comparación patrimonial</t>
        </is>
      </c>
      <c r="C27" s="967" t="n"/>
    </row>
    <row r="28" hidden="1">
      <c r="B28" s="645" t="inlineStr">
        <is>
          <t>Variación patrimonial &gt; Rentas ajustadas</t>
        </is>
      </c>
      <c r="C28" s="967" t="n"/>
    </row>
    <row r="29" hidden="1" ht="49" customHeight="1">
      <c r="B29" s="640" t="inlineStr">
        <is>
          <t>A esta situación es que la DIAN le prestará especial atención, ya que en el orden de las cosas, se necesitan ingresos para poder comprar bienes o derechos. Al ser las rentas ajustadas inferiores a la variación presentada en el patrimonio, no existe a primera vista, una justificación del incremento. Hay renta por comparación patrimonial</t>
        </is>
      </c>
      <c r="C29" s="967" t="n"/>
    </row>
  </sheetData>
  <mergeCells count="12">
    <mergeCell ref="B24:C24"/>
    <mergeCell ref="B2:C2"/>
    <mergeCell ref="B29:C29"/>
    <mergeCell ref="B25:C25"/>
    <mergeCell ref="B10:C10"/>
    <mergeCell ref="B28:C28"/>
    <mergeCell ref="B22:C22"/>
    <mergeCell ref="B9:C9"/>
    <mergeCell ref="B26:C26"/>
    <mergeCell ref="B27:C27"/>
    <mergeCell ref="B1:C1"/>
    <mergeCell ref="B18:C18"/>
  </mergeCells>
  <dataValidations disablePrompts="1" count="1">
    <dataValidation sqref="C18" showDropDown="0" showInputMessage="1" showErrorMessage="1" allowBlank="1" errorTitle="Error" error="Por favor borre el texto introducido y elija alguna opción de la lista." promptTitle="elegir opción" type="list">
      <formula1>#REF!</formula1>
    </dataValidation>
  </dataValidations>
  <pageMargins left="0.7" right="0.7" top="0.75" bottom="0.75" header="0.3" footer="0.3"/>
  <pageSetup orientation="portrait"/>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F4:H72"/>
  <sheetViews>
    <sheetView topLeftCell="A43" workbookViewId="0">
      <selection activeCell="G73" sqref="G73"/>
    </sheetView>
  </sheetViews>
  <sheetFormatPr baseColWidth="10" defaultRowHeight="15"/>
  <cols>
    <col width="17.1640625" customWidth="1" min="6" max="6"/>
  </cols>
  <sheetData>
    <row r="4">
      <c r="F4" s="324" t="inlineStr">
        <is>
          <t>Año de adquisición</t>
        </is>
      </c>
      <c r="G4" s="324" t="inlineStr">
        <is>
          <t>Acciones y Aportes</t>
        </is>
      </c>
      <c r="H4" s="324" t="inlineStr">
        <is>
          <t>Bienes Raíces</t>
        </is>
      </c>
    </row>
    <row r="5">
      <c r="F5" s="324" t="inlineStr">
        <is>
          <t>Multiplicar por</t>
        </is>
      </c>
    </row>
    <row r="6">
      <c r="F6" s="325" t="inlineStr">
        <is>
          <t>1955 y anteriores</t>
        </is>
      </c>
      <c r="G6" s="326" t="n">
        <v>3581.32</v>
      </c>
      <c r="H6" s="326" t="n">
        <v>32137.12</v>
      </c>
    </row>
    <row r="7">
      <c r="F7" s="325" t="n">
        <v>1956</v>
      </c>
      <c r="G7" s="326" t="n">
        <v>3509.63</v>
      </c>
      <c r="H7" s="326" t="n">
        <v>31494.78</v>
      </c>
    </row>
    <row r="8">
      <c r="F8" s="325" t="n">
        <v>1957</v>
      </c>
      <c r="G8" s="326" t="n">
        <v>3249.68</v>
      </c>
      <c r="H8" s="326" t="n">
        <v>29162.19</v>
      </c>
    </row>
    <row r="9">
      <c r="F9" s="325" t="n">
        <v>1958</v>
      </c>
      <c r="G9" s="326" t="n">
        <v>2741.82</v>
      </c>
      <c r="H9" s="326" t="n">
        <v>24604.31</v>
      </c>
    </row>
    <row r="10">
      <c r="F10" s="325" t="n">
        <v>1959</v>
      </c>
      <c r="G10" s="326" t="n">
        <v>2506.66</v>
      </c>
      <c r="H10" s="326" t="n">
        <v>22494.25</v>
      </c>
    </row>
    <row r="11">
      <c r="F11" s="325" t="n">
        <v>1960</v>
      </c>
      <c r="G11" s="326" t="n">
        <v>2339.61</v>
      </c>
      <c r="H11" s="326" t="n">
        <v>20994.94</v>
      </c>
    </row>
    <row r="12">
      <c r="F12" s="325" t="n">
        <v>1961</v>
      </c>
      <c r="G12" s="326" t="n">
        <v>2193.32</v>
      </c>
      <c r="H12" s="326" t="n">
        <v>19576.13</v>
      </c>
    </row>
    <row r="13">
      <c r="F13" s="325" t="n">
        <v>1962</v>
      </c>
      <c r="G13" s="326" t="n">
        <v>2064.46</v>
      </c>
      <c r="H13" s="326" t="n">
        <v>18525.04</v>
      </c>
    </row>
    <row r="14">
      <c r="F14" s="325" t="n">
        <v>1963</v>
      </c>
      <c r="G14" s="326" t="n">
        <v>1928.23</v>
      </c>
      <c r="H14" s="326" t="n">
        <v>17303.51</v>
      </c>
    </row>
    <row r="15">
      <c r="F15" s="325" t="n">
        <v>1964</v>
      </c>
      <c r="G15" s="326" t="n">
        <v>1474.42</v>
      </c>
      <c r="H15" s="326" t="n">
        <v>13231.72</v>
      </c>
    </row>
    <row r="16">
      <c r="F16" s="325" t="n">
        <v>1965</v>
      </c>
      <c r="G16" s="326" t="n">
        <v>1349.81</v>
      </c>
      <c r="H16" s="326" t="n">
        <v>12112.77</v>
      </c>
    </row>
    <row r="17">
      <c r="F17" s="325" t="n">
        <v>1966</v>
      </c>
      <c r="G17" s="326" t="n">
        <v>1177.62</v>
      </c>
      <c r="H17" s="326" t="n">
        <v>10567.7</v>
      </c>
    </row>
    <row r="18">
      <c r="F18" s="325" t="n">
        <v>1967</v>
      </c>
      <c r="G18" s="326" t="n">
        <v>1038.26</v>
      </c>
      <c r="H18" s="326" t="n">
        <v>9317.76</v>
      </c>
    </row>
    <row r="19">
      <c r="F19" s="325" t="n">
        <v>1968</v>
      </c>
      <c r="G19" s="325" t="n">
        <v>964.12</v>
      </c>
      <c r="H19" s="326" t="n">
        <v>8651.75</v>
      </c>
    </row>
    <row r="20">
      <c r="F20" s="325" t="n">
        <v>1969</v>
      </c>
      <c r="G20" s="325" t="n">
        <v>904.49</v>
      </c>
      <c r="H20" s="326" t="n">
        <v>8116.74</v>
      </c>
    </row>
    <row r="21">
      <c r="F21" s="325" t="n">
        <v>1970</v>
      </c>
      <c r="G21" s="325" t="n">
        <v>831.6799999999999</v>
      </c>
      <c r="H21" s="326" t="n">
        <v>7463.36</v>
      </c>
    </row>
    <row r="22">
      <c r="F22" s="325" t="n">
        <v>1971</v>
      </c>
      <c r="G22" s="325" t="n">
        <v>776.52</v>
      </c>
      <c r="H22" s="326" t="n">
        <v>6967.8</v>
      </c>
    </row>
    <row r="23">
      <c r="F23" s="325" t="n">
        <v>1972</v>
      </c>
      <c r="G23" s="325" t="n">
        <v>688.08</v>
      </c>
      <c r="H23" s="326" t="n">
        <v>6175.54</v>
      </c>
    </row>
    <row r="24">
      <c r="F24" s="325" t="n">
        <v>1973</v>
      </c>
      <c r="G24" s="325" t="n">
        <v>605</v>
      </c>
      <c r="H24" s="326" t="n">
        <v>5430.63</v>
      </c>
    </row>
    <row r="25">
      <c r="F25" s="325" t="n">
        <v>1974</v>
      </c>
      <c r="G25" s="325" t="n">
        <v>494.23</v>
      </c>
      <c r="H25" s="326" t="n">
        <v>4436.35</v>
      </c>
    </row>
    <row r="26">
      <c r="F26" s="325" t="n">
        <v>1975</v>
      </c>
      <c r="G26" s="325" t="n">
        <v>395.29</v>
      </c>
      <c r="H26" s="326" t="n">
        <v>3546.24</v>
      </c>
    </row>
    <row r="27">
      <c r="F27" s="325" t="n">
        <v>1976</v>
      </c>
      <c r="G27" s="325" t="n">
        <v>336.11</v>
      </c>
      <c r="H27" s="326" t="n">
        <v>3015.96</v>
      </c>
    </row>
    <row r="28">
      <c r="F28" s="325" t="n">
        <v>1977</v>
      </c>
      <c r="G28" s="325" t="n">
        <v>268</v>
      </c>
      <c r="H28" s="326" t="n">
        <v>2403.62</v>
      </c>
    </row>
    <row r="29">
      <c r="F29" s="325" t="n">
        <v>1978</v>
      </c>
      <c r="G29" s="325" t="n">
        <v>210.15</v>
      </c>
      <c r="H29" s="326" t="n">
        <v>1885.96</v>
      </c>
    </row>
    <row r="30">
      <c r="F30" s="325" t="n">
        <v>1979</v>
      </c>
      <c r="G30" s="325" t="n">
        <v>175.54</v>
      </c>
      <c r="H30" s="326" t="n">
        <v>1575.05</v>
      </c>
    </row>
    <row r="31">
      <c r="F31" s="325" t="n">
        <v>1980</v>
      </c>
      <c r="G31" s="325" t="n">
        <v>138.69</v>
      </c>
      <c r="H31" s="326" t="n">
        <v>1245.21</v>
      </c>
    </row>
    <row r="32">
      <c r="F32" s="325" t="n">
        <v>1981</v>
      </c>
      <c r="G32" s="325" t="n">
        <v>111.44</v>
      </c>
      <c r="H32" s="325" t="n">
        <v>999.01</v>
      </c>
    </row>
    <row r="33">
      <c r="F33" s="325" t="n">
        <v>1982</v>
      </c>
      <c r="G33" s="325" t="n">
        <v>88.66</v>
      </c>
      <c r="H33" s="325" t="n">
        <v>795.42</v>
      </c>
    </row>
    <row r="34">
      <c r="F34" s="325" t="n">
        <v>1983</v>
      </c>
      <c r="G34" s="325" t="n">
        <v>71.23999999999999</v>
      </c>
      <c r="H34" s="325" t="n">
        <v>639.1799999999999</v>
      </c>
    </row>
    <row r="35">
      <c r="F35" s="325" t="n">
        <v>1984</v>
      </c>
      <c r="G35" s="325" t="n">
        <v>61.19</v>
      </c>
      <c r="H35" s="325" t="n">
        <v>549.22</v>
      </c>
    </row>
    <row r="36">
      <c r="F36" s="325" t="n">
        <v>1985</v>
      </c>
      <c r="G36" s="325" t="n">
        <v>51.81</v>
      </c>
      <c r="H36" s="325" t="n">
        <v>476.62</v>
      </c>
    </row>
    <row r="37">
      <c r="F37" s="325" t="n">
        <v>1986</v>
      </c>
      <c r="G37" s="325" t="n">
        <v>42.43</v>
      </c>
      <c r="H37" s="325" t="n">
        <v>394.55</v>
      </c>
    </row>
    <row r="38">
      <c r="F38" s="325" t="n">
        <v>1987</v>
      </c>
      <c r="G38" s="325" t="n">
        <v>35.06</v>
      </c>
      <c r="H38" s="325" t="n">
        <v>334.58</v>
      </c>
    </row>
    <row r="39">
      <c r="F39" s="325" t="n">
        <v>1988</v>
      </c>
      <c r="G39" s="325" t="n">
        <v>28.59</v>
      </c>
      <c r="H39" s="325" t="n">
        <v>252.51</v>
      </c>
    </row>
    <row r="40">
      <c r="F40" s="325" t="n">
        <v>1989</v>
      </c>
      <c r="G40" s="325" t="n">
        <v>22.4</v>
      </c>
      <c r="H40" s="325" t="n">
        <v>157.43</v>
      </c>
    </row>
    <row r="41">
      <c r="F41" s="325" t="n">
        <v>1990</v>
      </c>
      <c r="G41" s="325" t="n">
        <v>17.76</v>
      </c>
      <c r="H41" s="325" t="n">
        <v>108.87</v>
      </c>
    </row>
    <row r="42">
      <c r="F42" s="325" t="n">
        <v>1991</v>
      </c>
      <c r="G42" s="325" t="n">
        <v>13.47</v>
      </c>
      <c r="H42" s="325" t="n">
        <v>75.87</v>
      </c>
    </row>
    <row r="43">
      <c r="F43" s="325" t="n">
        <v>1992</v>
      </c>
      <c r="G43" s="325" t="n">
        <v>10.61</v>
      </c>
      <c r="H43" s="325" t="n">
        <v>56.83</v>
      </c>
    </row>
    <row r="44">
      <c r="F44" s="325" t="n">
        <v>1993</v>
      </c>
      <c r="G44" s="325" t="n">
        <v>8.52</v>
      </c>
      <c r="H44" s="325" t="n">
        <v>40.39</v>
      </c>
    </row>
    <row r="45">
      <c r="F45" s="325" t="n">
        <v>1994</v>
      </c>
      <c r="G45" s="325" t="n">
        <v>6.95</v>
      </c>
      <c r="H45" s="325" t="n">
        <v>29.37</v>
      </c>
    </row>
    <row r="46">
      <c r="F46" s="325" t="n">
        <v>1995</v>
      </c>
      <c r="G46" s="325" t="n">
        <v>5.69</v>
      </c>
      <c r="H46" s="325" t="n">
        <v>20.93</v>
      </c>
    </row>
    <row r="47">
      <c r="F47" s="325" t="n">
        <v>1996</v>
      </c>
      <c r="G47" s="325" t="n">
        <v>4.82</v>
      </c>
      <c r="H47" s="325" t="n">
        <v>15.47</v>
      </c>
    </row>
    <row r="48">
      <c r="F48" s="325" t="n">
        <v>1997</v>
      </c>
      <c r="G48" s="325" t="n">
        <v>4.16</v>
      </c>
      <c r="H48" s="325" t="n">
        <v>12.84</v>
      </c>
    </row>
    <row r="49">
      <c r="F49" s="325" t="n">
        <v>1998</v>
      </c>
      <c r="G49" s="325" t="n">
        <v>3.54</v>
      </c>
      <c r="H49" s="325" t="n">
        <v>9.859999999999999</v>
      </c>
    </row>
    <row r="50">
      <c r="F50" s="325" t="n">
        <v>1999</v>
      </c>
      <c r="G50" s="325" t="n">
        <v>3.05</v>
      </c>
      <c r="H50" s="325" t="n">
        <v>8.220000000000001</v>
      </c>
    </row>
    <row r="51">
      <c r="F51" s="325" t="n">
        <v>2000</v>
      </c>
      <c r="G51" s="325" t="n">
        <v>2.8</v>
      </c>
      <c r="H51" s="325" t="n">
        <v>8.16</v>
      </c>
    </row>
    <row r="52">
      <c r="F52" s="325" t="n">
        <v>2001</v>
      </c>
      <c r="G52" s="325" t="n">
        <v>2.58</v>
      </c>
      <c r="H52" s="325" t="n">
        <v>7.89</v>
      </c>
    </row>
    <row r="53">
      <c r="F53" s="325" t="n">
        <v>2002</v>
      </c>
      <c r="G53" s="325" t="n">
        <v>2.4</v>
      </c>
      <c r="H53" s="325" t="n">
        <v>7.29</v>
      </c>
    </row>
    <row r="54">
      <c r="F54" s="325" t="n">
        <v>2003</v>
      </c>
      <c r="G54" s="325" t="n">
        <v>2.25</v>
      </c>
      <c r="H54" s="325" t="n">
        <v>6.55</v>
      </c>
    </row>
    <row r="55">
      <c r="F55" s="325" t="n">
        <v>2004</v>
      </c>
      <c r="G55" s="325" t="n">
        <v>2.11</v>
      </c>
      <c r="H55" s="325" t="n">
        <v>6.16</v>
      </c>
    </row>
    <row r="56">
      <c r="F56" s="325" t="n">
        <v>2005</v>
      </c>
      <c r="G56" s="325" t="n">
        <v>2</v>
      </c>
      <c r="H56" s="325" t="n">
        <v>5.78</v>
      </c>
    </row>
    <row r="57">
      <c r="F57" s="325" t="n">
        <v>2006</v>
      </c>
      <c r="G57" s="325" t="n">
        <v>1.91</v>
      </c>
      <c r="H57" s="325" t="n">
        <v>5.48</v>
      </c>
    </row>
    <row r="58">
      <c r="F58" s="325" t="n">
        <v>2007</v>
      </c>
      <c r="G58" s="325" t="n">
        <v>1.82</v>
      </c>
      <c r="H58" s="325" t="n">
        <v>4.16</v>
      </c>
    </row>
    <row r="59">
      <c r="F59" s="325" t="n">
        <v>2008</v>
      </c>
      <c r="G59" s="325" t="n">
        <v>1.72</v>
      </c>
      <c r="H59" s="325" t="n">
        <v>3.7</v>
      </c>
    </row>
    <row r="60">
      <c r="F60" s="325" t="n">
        <v>2009</v>
      </c>
      <c r="G60" s="325" t="n">
        <v>1.59</v>
      </c>
      <c r="H60" s="325" t="n">
        <v>3.05</v>
      </c>
    </row>
    <row r="61">
      <c r="F61" s="325" t="n">
        <v>2010</v>
      </c>
      <c r="G61" s="325" t="n">
        <v>1.56</v>
      </c>
      <c r="H61" s="325" t="n">
        <v>2.78</v>
      </c>
    </row>
    <row r="62">
      <c r="F62" s="325" t="n">
        <v>2011</v>
      </c>
      <c r="G62" s="325" t="n">
        <v>1.51</v>
      </c>
      <c r="H62" s="325" t="n">
        <v>2.55</v>
      </c>
    </row>
    <row r="63">
      <c r="F63" s="325" t="n">
        <v>2012</v>
      </c>
      <c r="G63" s="325" t="n">
        <v>1.46</v>
      </c>
      <c r="H63" s="325" t="n">
        <v>2.13</v>
      </c>
    </row>
    <row r="64">
      <c r="F64" s="325" t="n">
        <v>2013</v>
      </c>
      <c r="G64" s="325" t="n">
        <v>1.42</v>
      </c>
      <c r="H64" s="325" t="n">
        <v>1.83</v>
      </c>
    </row>
    <row r="65">
      <c r="F65" s="325" t="n">
        <v>2014</v>
      </c>
      <c r="G65" s="325" t="n">
        <v>1.39</v>
      </c>
      <c r="H65" s="325" t="n">
        <v>1.62</v>
      </c>
    </row>
    <row r="66">
      <c r="F66" s="325" t="n">
        <v>2015</v>
      </c>
      <c r="G66" s="325" t="n">
        <v>1.34</v>
      </c>
      <c r="H66" s="325" t="n">
        <v>1.5</v>
      </c>
    </row>
    <row r="67">
      <c r="F67" s="325" t="n">
        <v>2016</v>
      </c>
      <c r="G67" s="325" t="n">
        <v>1.26</v>
      </c>
      <c r="H67" s="325" t="n">
        <v>1.43</v>
      </c>
    </row>
    <row r="68">
      <c r="F68" s="325" t="n">
        <v>2017</v>
      </c>
      <c r="G68" s="325" t="n">
        <v>1.19</v>
      </c>
      <c r="H68" s="325" t="n">
        <v>1.36</v>
      </c>
    </row>
    <row r="69">
      <c r="F69" s="325" t="n">
        <v>2018</v>
      </c>
      <c r="G69" s="325" t="n">
        <v>1.15</v>
      </c>
      <c r="H69" s="325" t="n">
        <v>1.25</v>
      </c>
    </row>
    <row r="70">
      <c r="F70" s="325" t="n">
        <v>2019</v>
      </c>
      <c r="G70" s="325" t="n">
        <v>1.12</v>
      </c>
      <c r="H70" s="325" t="n">
        <v>1.16</v>
      </c>
    </row>
    <row r="71">
      <c r="F71" s="325" t="n">
        <v>2020</v>
      </c>
      <c r="G71" s="325" t="n">
        <v>1.08</v>
      </c>
      <c r="H71" s="325" t="n">
        <v>1.09</v>
      </c>
    </row>
    <row r="72">
      <c r="F72" s="325" t="n">
        <v>2021</v>
      </c>
      <c r="G72" s="325" t="n">
        <v>1.06</v>
      </c>
      <c r="H72" s="325" t="n">
        <v>1.03</v>
      </c>
    </row>
  </sheetData>
  <pageMargins left="0.7" right="0.7" top="0.75" bottom="0.75" header="0.3" footer="0.3"/>
</worksheet>
</file>

<file path=xl/worksheets/sheet7.xml><?xml version="1.0" encoding="utf-8"?>
<worksheet xmlns="http://schemas.openxmlformats.org/spreadsheetml/2006/main">
  <sheetPr codeName="Hoja3">
    <tabColor rgb="FF0070C0"/>
    <outlinePr summaryBelow="1" summaryRight="1"/>
    <pageSetUpPr/>
  </sheetPr>
  <dimension ref="B2:M122"/>
  <sheetViews>
    <sheetView showGridLines="0" zoomScale="130" zoomScaleNormal="130" zoomScaleSheetLayoutView="141" workbookViewId="0">
      <pane ySplit="2" topLeftCell="A106" activePane="bottomLeft" state="frozenSplit"/>
      <selection activeCell="C6" sqref="C6:F6"/>
      <selection pane="bottomLeft" activeCell="D121" sqref="D121"/>
    </sheetView>
  </sheetViews>
  <sheetFormatPr baseColWidth="10" defaultColWidth="0" defaultRowHeight="16" outlineLevelRow="1"/>
  <cols>
    <col width="3.5" customWidth="1" style="69" min="1" max="1"/>
    <col width="54" customWidth="1" style="69" min="2" max="2"/>
    <col width="14.5" bestFit="1" customWidth="1" style="69" min="3" max="3"/>
    <col width="15.83203125" bestFit="1" customWidth="1" style="69" min="4" max="4"/>
    <col width="16.5" customWidth="1" style="69" min="5" max="5"/>
    <col width="15.83203125" customWidth="1" style="69" min="6" max="6"/>
    <col width="17.5" customWidth="1" style="69" min="7" max="7"/>
    <col width="16.1640625" bestFit="1" customWidth="1" style="69" min="8" max="8"/>
    <col width="16" customWidth="1" style="69" min="9" max="9"/>
    <col width="31.6640625" customWidth="1" style="69" min="10" max="10"/>
    <col hidden="1" width="17.5" customWidth="1" style="69" min="11" max="13"/>
    <col hidden="1" width="13" customWidth="1" style="69" min="14" max="256"/>
    <col hidden="1" width="11.5" customWidth="1" style="69" min="257" max="16384"/>
  </cols>
  <sheetData>
    <row r="1" ht="13" customHeight="1"/>
    <row r="2" ht="15.75" customHeight="1">
      <c r="B2" s="662" t="inlineStr">
        <is>
          <t xml:space="preserve"> PATRIMONIO BRUTO (Renglón 29)</t>
        </is>
      </c>
      <c r="C2" s="996" t="n"/>
      <c r="D2" s="996" t="n"/>
      <c r="E2" s="996" t="n"/>
      <c r="F2" s="996" t="n"/>
      <c r="G2" s="996" t="n"/>
      <c r="H2" s="996" t="n"/>
      <c r="I2" s="996" t="n"/>
      <c r="J2" s="997" t="n"/>
    </row>
    <row r="4" ht="34" customHeight="1">
      <c r="B4" s="998" t="inlineStr">
        <is>
          <t>ENTIDADES FINANCiERAS, FONDOS CESANTIAS, ETC</t>
        </is>
      </c>
      <c r="C4" s="967" t="n"/>
      <c r="D4" s="64" t="inlineStr">
        <is>
          <t>SALDO 31 DE DICIEMBRE</t>
        </is>
      </c>
    </row>
    <row r="5" outlineLevel="1" ht="15" customHeight="1">
      <c r="B5" s="663" t="n"/>
      <c r="C5" s="997" t="n"/>
      <c r="D5" s="312" t="n"/>
    </row>
    <row r="6" outlineLevel="1" ht="16" customHeight="1">
      <c r="B6" s="663" t="n"/>
      <c r="C6" s="997" t="n"/>
      <c r="D6" s="312" t="n"/>
    </row>
    <row r="7" outlineLevel="1" ht="16" customHeight="1">
      <c r="B7" s="663" t="n"/>
      <c r="C7" s="997" t="n"/>
      <c r="D7" s="312" t="n"/>
    </row>
    <row r="8" outlineLevel="1" ht="16" customHeight="1">
      <c r="B8" s="663" t="n"/>
      <c r="C8" s="997" t="n"/>
      <c r="D8" s="312" t="n"/>
    </row>
    <row r="9" outlineLevel="1" ht="16" customHeight="1">
      <c r="B9" s="663" t="n"/>
      <c r="C9" s="997" t="n"/>
      <c r="D9" s="312" t="n"/>
    </row>
    <row r="10" outlineLevel="1" ht="16" customHeight="1">
      <c r="B10" s="663" t="n"/>
      <c r="C10" s="997" t="n"/>
      <c r="D10" s="312" t="n"/>
    </row>
    <row r="11" outlineLevel="1" ht="16" customHeight="1">
      <c r="B11" s="663" t="n"/>
      <c r="C11" s="997" t="n"/>
      <c r="D11" s="312" t="n"/>
    </row>
    <row r="12" outlineLevel="1" ht="16" customHeight="1">
      <c r="B12" s="663" t="n"/>
      <c r="C12" s="997" t="n"/>
      <c r="D12" s="312" t="n"/>
    </row>
    <row r="13" outlineLevel="1" ht="16" customHeight="1">
      <c r="B13" s="663" t="n"/>
      <c r="C13" s="997" t="n"/>
      <c r="D13" s="312" t="n"/>
    </row>
    <row r="14" outlineLevel="1" ht="16" customHeight="1">
      <c r="B14" s="663" t="n"/>
      <c r="C14" s="997" t="n"/>
      <c r="D14" s="312" t="n"/>
    </row>
    <row r="15" outlineLevel="1" ht="16" customHeight="1">
      <c r="B15" s="665" t="n"/>
      <c r="C15" s="997" t="n"/>
      <c r="D15" s="312" t="n"/>
    </row>
    <row r="16" outlineLevel="1">
      <c r="B16" s="663" t="n"/>
      <c r="C16" s="997" t="n"/>
      <c r="D16" s="312" t="n"/>
    </row>
    <row r="17" outlineLevel="1">
      <c r="B17" s="663" t="n"/>
      <c r="C17" s="997" t="n"/>
      <c r="D17" s="312" t="n"/>
    </row>
    <row r="18" outlineLevel="1">
      <c r="B18" s="653" t="n"/>
      <c r="C18" s="996" t="n"/>
      <c r="D18" s="312" t="n"/>
    </row>
    <row r="19" outlineLevel="1">
      <c r="B19" s="653" t="n"/>
      <c r="C19" s="996" t="n"/>
      <c r="D19" s="312" t="n"/>
    </row>
    <row r="20" outlineLevel="1">
      <c r="B20" s="653" t="n"/>
      <c r="C20" s="996" t="n"/>
      <c r="D20" s="312" t="n"/>
    </row>
    <row r="21" outlineLevel="1">
      <c r="B21" s="653" t="n"/>
      <c r="C21" s="996" t="n"/>
      <c r="D21" s="312" t="n"/>
    </row>
    <row r="22" outlineLevel="1">
      <c r="B22" s="653" t="n"/>
      <c r="C22" s="996" t="n"/>
      <c r="D22" s="312" t="n"/>
    </row>
    <row r="23" outlineLevel="1">
      <c r="B23" s="653" t="n"/>
      <c r="C23" s="996" t="n"/>
      <c r="D23" s="218" t="n"/>
    </row>
    <row r="24" outlineLevel="1">
      <c r="B24" s="653" t="n"/>
      <c r="C24" s="996" t="n"/>
      <c r="D24" s="218" t="n"/>
    </row>
    <row r="25" outlineLevel="1">
      <c r="B25" s="653" t="n"/>
      <c r="C25" s="996" t="n"/>
      <c r="D25" s="218" t="n"/>
    </row>
    <row r="26" outlineLevel="1">
      <c r="B26" s="653" t="n"/>
      <c r="C26" s="996" t="n"/>
      <c r="D26" s="218" t="n"/>
    </row>
    <row r="27" outlineLevel="1">
      <c r="B27" s="653" t="n"/>
      <c r="C27" s="996" t="n"/>
      <c r="D27" s="218" t="n"/>
    </row>
    <row r="28" outlineLevel="1">
      <c r="B28" s="653" t="n"/>
      <c r="C28" s="996" t="n"/>
      <c r="D28" s="218" t="n"/>
    </row>
    <row r="29" ht="17.25" customFormat="1" customHeight="1" s="70">
      <c r="B29" s="999" t="inlineStr">
        <is>
          <t>TOTAL ENTIDADES FINANCIERAS Y CESANTÍAS</t>
        </is>
      </c>
      <c r="C29" s="967" t="n"/>
      <c r="D29" s="135">
        <f>SUM(D5:D28)</f>
        <v/>
      </c>
    </row>
    <row r="30">
      <c r="B30" s="136" t="n"/>
      <c r="C30" s="136" t="n"/>
      <c r="D30" s="49" t="n"/>
    </row>
    <row r="31">
      <c r="B31" s="136" t="n"/>
      <c r="C31" s="136" t="n"/>
      <c r="D31" s="49" t="n"/>
    </row>
    <row r="32" ht="34" customHeight="1">
      <c r="B32" s="998" t="inlineStr">
        <is>
          <t>CUENTAS POR COBRAR, INVENTARIOS:</t>
        </is>
      </c>
      <c r="C32" s="967" t="n"/>
      <c r="D32" s="64" t="inlineStr">
        <is>
          <t>SALDO 31 DE DICIEMBRE</t>
        </is>
      </c>
      <c r="F32" s="177" t="n"/>
    </row>
    <row r="33" outlineLevel="1" ht="16" customHeight="1">
      <c r="B33" s="653" t="n"/>
      <c r="C33" s="996" t="n"/>
      <c r="D33" s="218" t="n"/>
    </row>
    <row r="34" outlineLevel="1" ht="16" customHeight="1">
      <c r="B34" s="653" t="n"/>
      <c r="C34" s="996" t="n"/>
      <c r="D34" s="218" t="n"/>
    </row>
    <row r="35" outlineLevel="1" ht="16" customHeight="1">
      <c r="B35" s="653" t="n"/>
      <c r="C35" s="996" t="n"/>
      <c r="D35" s="218" t="n"/>
    </row>
    <row r="36" outlineLevel="1" ht="16" customHeight="1">
      <c r="B36" s="653" t="n"/>
      <c r="C36" s="996" t="n"/>
      <c r="D36" s="218" t="n"/>
    </row>
    <row r="37" outlineLevel="1" ht="16" customHeight="1">
      <c r="B37" s="653" t="n"/>
      <c r="C37" s="996" t="n"/>
      <c r="D37" s="218" t="n"/>
    </row>
    <row r="38" outlineLevel="1" ht="16" customHeight="1">
      <c r="B38" s="661" t="n"/>
      <c r="C38" s="996" t="n"/>
      <c r="D38" s="218" t="n"/>
    </row>
    <row r="39" outlineLevel="1">
      <c r="B39" s="653" t="n"/>
      <c r="C39" s="996" t="n"/>
      <c r="D39" s="218" t="n"/>
    </row>
    <row r="40" outlineLevel="1">
      <c r="B40" s="653" t="n"/>
      <c r="C40" s="996" t="n"/>
      <c r="D40" s="218" t="n"/>
    </row>
    <row r="41" outlineLevel="1">
      <c r="B41" s="653" t="n"/>
      <c r="C41" s="996" t="n"/>
      <c r="D41" s="218" t="n"/>
    </row>
    <row r="42" outlineLevel="1">
      <c r="B42" s="653" t="n"/>
      <c r="C42" s="996" t="n"/>
      <c r="D42" s="218" t="n"/>
    </row>
    <row r="43" outlineLevel="1">
      <c r="B43" s="653" t="n"/>
      <c r="C43" s="996" t="n"/>
      <c r="D43" s="218" t="n"/>
    </row>
    <row r="44" outlineLevel="1">
      <c r="B44" s="653" t="n"/>
      <c r="C44" s="996" t="n"/>
      <c r="D44" s="218" t="n"/>
    </row>
    <row r="45" outlineLevel="1">
      <c r="B45" s="653" t="n"/>
      <c r="C45" s="996" t="n"/>
      <c r="D45" s="218" t="n"/>
    </row>
    <row r="46" outlineLevel="1">
      <c r="B46" s="653" t="n"/>
      <c r="C46" s="996" t="n"/>
      <c r="D46" s="218" t="n"/>
    </row>
    <row r="47" outlineLevel="1">
      <c r="B47" s="653" t="n"/>
      <c r="C47" s="996" t="n"/>
      <c r="D47" s="218" t="n"/>
    </row>
    <row r="48" outlineLevel="1">
      <c r="B48" s="653" t="n"/>
      <c r="C48" s="996" t="n"/>
      <c r="D48" s="218" t="n"/>
    </row>
    <row r="49" outlineLevel="1">
      <c r="B49" s="653" t="n"/>
      <c r="C49" s="996" t="n"/>
      <c r="D49" s="218" t="n"/>
    </row>
    <row r="50" outlineLevel="1">
      <c r="B50" s="653" t="n"/>
      <c r="C50" s="996" t="n"/>
      <c r="D50" s="199" t="n"/>
    </row>
    <row r="51" outlineLevel="1">
      <c r="B51" s="653" t="n"/>
      <c r="C51" s="996" t="n"/>
      <c r="D51" s="218" t="n"/>
    </row>
    <row r="52" outlineLevel="1">
      <c r="B52" s="653" t="n"/>
      <c r="C52" s="996" t="n"/>
      <c r="D52" s="218" t="n"/>
    </row>
    <row r="53" outlineLevel="1">
      <c r="B53" s="653" t="n"/>
      <c r="C53" s="996" t="n"/>
      <c r="D53" s="218" t="n"/>
      <c r="G53" s="1000" t="n"/>
      <c r="H53" s="1000" t="n"/>
    </row>
    <row r="54" outlineLevel="1">
      <c r="B54" s="653" t="n"/>
      <c r="C54" s="996" t="n"/>
      <c r="D54" s="218" t="n"/>
      <c r="G54" s="1000" t="n"/>
      <c r="H54" s="1000" t="n"/>
    </row>
    <row r="55" outlineLevel="1">
      <c r="B55" s="653" t="n"/>
      <c r="C55" s="996" t="n"/>
      <c r="D55" s="218" t="n"/>
      <c r="G55" s="1000" t="n"/>
      <c r="H55" s="1000" t="n"/>
    </row>
    <row r="56" outlineLevel="1">
      <c r="B56" s="653" t="n"/>
      <c r="C56" s="996" t="n"/>
      <c r="D56" s="218" t="n"/>
      <c r="G56" s="1001" t="n"/>
      <c r="H56" s="1001" t="n"/>
      <c r="I56" s="1000" t="n"/>
      <c r="J56" s="1001" t="n"/>
    </row>
    <row r="57" outlineLevel="1">
      <c r="B57" s="653" t="n"/>
      <c r="C57" s="996" t="n"/>
      <c r="D57" s="218" t="n"/>
    </row>
    <row r="58" customFormat="1" s="70">
      <c r="B58" s="999" t="inlineStr">
        <is>
          <t>CUENTAS POR COBRAR</t>
        </is>
      </c>
      <c r="C58" s="967" t="n"/>
      <c r="D58" s="135">
        <f>SUM(D33:D57)</f>
        <v/>
      </c>
      <c r="E58" s="137" t="n"/>
    </row>
    <row r="59">
      <c r="B59" s="136" t="n"/>
      <c r="C59" s="136" t="n"/>
      <c r="D59" s="49" t="n"/>
      <c r="E59" s="137" t="n"/>
    </row>
    <row r="60">
      <c r="B60" s="136" t="n"/>
      <c r="C60" s="136" t="n"/>
      <c r="D60" s="49" t="n"/>
    </row>
    <row r="61">
      <c r="B61" s="674" t="inlineStr">
        <is>
          <t>ACCIONES, APORTES EN SOCIDADES</t>
        </is>
      </c>
      <c r="C61" s="971" t="n"/>
      <c r="D61" s="971" t="n"/>
      <c r="E61" s="971" t="n"/>
      <c r="F61" s="971" t="n"/>
      <c r="G61" s="971" t="n"/>
      <c r="H61" s="967" t="n"/>
    </row>
    <row r="62" outlineLevel="1" ht="42" customHeight="1">
      <c r="B62" s="138" t="inlineStr">
        <is>
          <t>Descripción</t>
        </is>
      </c>
      <c r="C62" s="139" t="inlineStr">
        <is>
          <t>Reajuste fiscal</t>
        </is>
      </c>
      <c r="D62" s="139" t="inlineStr">
        <is>
          <t>Costo fiscal a Dic. 31 de 2024</t>
        </is>
      </c>
      <c r="E62" s="139" t="inlineStr">
        <is>
          <t>Costo de compra en el año 2025</t>
        </is>
      </c>
      <c r="F62" s="139" t="inlineStr">
        <is>
          <t>Reajuste fiscal 2025 5,81% Dec. 0049/2026</t>
        </is>
      </c>
      <c r="G62" s="139" t="inlineStr">
        <is>
          <t>Valor patrimonial a Dic. 31 de 2025</t>
        </is>
      </c>
      <c r="H62" s="139" t="inlineStr">
        <is>
          <t>Valorización año 2025</t>
        </is>
      </c>
    </row>
    <row r="63" outlineLevel="1">
      <c r="B63" s="653" t="n"/>
      <c r="C63" s="219" t="inlineStr">
        <is>
          <t>No</t>
        </is>
      </c>
      <c r="D63" s="218" t="n"/>
      <c r="E63" s="218" t="n"/>
      <c r="F63" s="140">
        <f>IF(C63&gt;"No",D63*$D$121,0)</f>
        <v/>
      </c>
      <c r="G63" s="141">
        <f>SUM(D63:F63)</f>
        <v/>
      </c>
      <c r="H63" s="141">
        <f>G63-E63-D63</f>
        <v/>
      </c>
    </row>
    <row r="64" outlineLevel="1" ht="17" customHeight="1">
      <c r="B64" s="653" t="n"/>
      <c r="C64" s="219" t="inlineStr">
        <is>
          <t>No</t>
        </is>
      </c>
      <c r="D64" s="317" t="n"/>
      <c r="E64" s="218" t="n"/>
      <c r="F64" s="140">
        <f>IF(C64&gt;"No",D64*$D$121,0)</f>
        <v/>
      </c>
      <c r="G64" s="141">
        <f>SUM(D64:F64)</f>
        <v/>
      </c>
      <c r="H64" s="141">
        <f>G64-E64-D64</f>
        <v/>
      </c>
    </row>
    <row r="65" outlineLevel="1" ht="17" customHeight="1">
      <c r="B65" s="653" t="n"/>
      <c r="C65" s="219" t="inlineStr">
        <is>
          <t>No</t>
        </is>
      </c>
      <c r="D65" s="317" t="n"/>
      <c r="E65" s="312" t="n"/>
      <c r="F65" s="140">
        <f>IF(C65&gt;"No",D65*$D$121,0)</f>
        <v/>
      </c>
      <c r="G65" s="141">
        <f>SUM(D65:F65)</f>
        <v/>
      </c>
      <c r="H65" s="141">
        <f>G65-E65-D65</f>
        <v/>
      </c>
    </row>
    <row r="66" outlineLevel="1" ht="17" customHeight="1">
      <c r="B66" s="361" t="n"/>
      <c r="C66" s="219" t="inlineStr">
        <is>
          <t>No</t>
        </is>
      </c>
      <c r="D66" s="317" t="n"/>
      <c r="E66" s="218" t="n"/>
      <c r="F66" s="140">
        <f>IF(C66&gt;"No",D66*$D$121,0)</f>
        <v/>
      </c>
      <c r="G66" s="141">
        <f>SUM(D66:F66)</f>
        <v/>
      </c>
      <c r="H66" s="141">
        <f>G66-E66-D66</f>
        <v/>
      </c>
    </row>
    <row r="67" outlineLevel="1" ht="17" customHeight="1">
      <c r="B67" s="653" t="n"/>
      <c r="C67" s="219" t="inlineStr">
        <is>
          <t>No</t>
        </is>
      </c>
      <c r="D67" s="317" t="n"/>
      <c r="E67" s="218" t="n"/>
      <c r="F67" s="140">
        <f>IF(C67&gt;"No",D67*$D$121,0)</f>
        <v/>
      </c>
      <c r="G67" s="141">
        <f>SUM(D67:F67)</f>
        <v/>
      </c>
      <c r="H67" s="141">
        <f>G67-E67-D67</f>
        <v/>
      </c>
    </row>
    <row r="68" outlineLevel="1" ht="16" customHeight="1">
      <c r="B68" s="220" t="n"/>
      <c r="C68" s="219" t="inlineStr">
        <is>
          <t>No</t>
        </is>
      </c>
      <c r="D68" s="317" t="n"/>
      <c r="E68" s="218" t="n"/>
      <c r="F68" s="140">
        <f>IF(C68&gt;"No",D68*$D$121,0)</f>
        <v/>
      </c>
      <c r="G68" s="141">
        <f>SUM(D68:F68)</f>
        <v/>
      </c>
      <c r="H68" s="141">
        <f>G68-E68-D68</f>
        <v/>
      </c>
      <c r="I68" s="1000" t="n"/>
    </row>
    <row r="69" outlineLevel="1" ht="17" customHeight="1">
      <c r="B69" s="653" t="n"/>
      <c r="C69" s="219" t="inlineStr">
        <is>
          <t>No</t>
        </is>
      </c>
      <c r="D69" s="317" t="n"/>
      <c r="E69" s="218" t="n"/>
      <c r="F69" s="140">
        <f>IF(C69&gt;"No",D69*$D$121,0)</f>
        <v/>
      </c>
      <c r="G69" s="141">
        <f>SUM(D69:F69)</f>
        <v/>
      </c>
      <c r="H69" s="141">
        <f>G69-E69-D69</f>
        <v/>
      </c>
    </row>
    <row r="70" outlineLevel="1" ht="17" customHeight="1">
      <c r="B70" s="653" t="n"/>
      <c r="C70" s="219" t="inlineStr">
        <is>
          <t>No</t>
        </is>
      </c>
      <c r="D70" s="317" t="n"/>
      <c r="E70" s="218" t="n"/>
      <c r="F70" s="140">
        <f>IF(C70&gt;"No",D70*$D$121,0)</f>
        <v/>
      </c>
      <c r="G70" s="141">
        <f>SUM(D70:F70)</f>
        <v/>
      </c>
      <c r="H70" s="141">
        <f>G70-E70-D70</f>
        <v/>
      </c>
      <c r="J70" s="1000" t="n"/>
    </row>
    <row r="71" outlineLevel="1">
      <c r="B71" s="653" t="n"/>
      <c r="C71" s="219" t="inlineStr">
        <is>
          <t>No</t>
        </is>
      </c>
      <c r="D71" s="317" t="n"/>
      <c r="E71" s="218" t="n"/>
      <c r="F71" s="140">
        <f>IF(C71&gt;"No",D71*$D$121,0)</f>
        <v/>
      </c>
      <c r="G71" s="141">
        <f>SUM(D71:F71)</f>
        <v/>
      </c>
      <c r="H71" s="141">
        <f>G71-E71-D71</f>
        <v/>
      </c>
      <c r="J71" s="1000" t="n"/>
    </row>
    <row r="72" outlineLevel="1">
      <c r="B72" s="653" t="n"/>
      <c r="C72" s="219" t="inlineStr">
        <is>
          <t>No</t>
        </is>
      </c>
      <c r="D72" s="317" t="n"/>
      <c r="E72" s="218" t="n"/>
      <c r="F72" s="140">
        <f>IF(C72&gt;"No",D72*$D$121,0)</f>
        <v/>
      </c>
      <c r="G72" s="141">
        <f>SUM(D72:F72)</f>
        <v/>
      </c>
      <c r="H72" s="141">
        <f>G72-E72-D72</f>
        <v/>
      </c>
      <c r="J72" s="321" t="n"/>
    </row>
    <row r="73" outlineLevel="1">
      <c r="B73" s="653" t="n"/>
      <c r="C73" s="219" t="inlineStr">
        <is>
          <t>No</t>
        </is>
      </c>
      <c r="D73" s="317" t="n"/>
      <c r="E73" s="218" t="n"/>
      <c r="F73" s="140">
        <f>IF(C73&gt;"No",D73*$D$121,0)</f>
        <v/>
      </c>
      <c r="G73" s="141">
        <f>SUM(D73:F73)</f>
        <v/>
      </c>
      <c r="H73" s="141">
        <f>G73-E73-D73</f>
        <v/>
      </c>
      <c r="J73" s="1000" t="n"/>
    </row>
    <row r="74" outlineLevel="1">
      <c r="B74" s="653" t="n"/>
      <c r="C74" s="219" t="inlineStr">
        <is>
          <t>No</t>
        </is>
      </c>
      <c r="D74" s="317" t="n"/>
      <c r="E74" s="218" t="n"/>
      <c r="F74" s="140">
        <f>IF(C74&gt;"No",D74*$D$121,0)</f>
        <v/>
      </c>
      <c r="G74" s="141">
        <f>SUM(D74:F74)</f>
        <v/>
      </c>
      <c r="H74" s="141">
        <f>G74-E74-D74</f>
        <v/>
      </c>
    </row>
    <row r="75" outlineLevel="1">
      <c r="B75" s="653" t="n"/>
      <c r="C75" s="219" t="inlineStr">
        <is>
          <t>No</t>
        </is>
      </c>
      <c r="D75" s="317" t="n"/>
      <c r="E75" s="218" t="n"/>
      <c r="F75" s="140">
        <f>IF(C75&gt;"No",D75*$D$121,0)</f>
        <v/>
      </c>
      <c r="G75" s="141">
        <f>SUM(D75:F75)</f>
        <v/>
      </c>
      <c r="H75" s="141">
        <f>G75-E75-D75</f>
        <v/>
      </c>
    </row>
    <row r="76" outlineLevel="1">
      <c r="B76" s="220" t="n"/>
      <c r="C76" s="219" t="inlineStr">
        <is>
          <t>No</t>
        </is>
      </c>
      <c r="D76" s="317" t="n"/>
      <c r="E76" s="218" t="n"/>
      <c r="F76" s="140">
        <f>IF(C76&gt;"No",D76*$D$121,0)</f>
        <v/>
      </c>
      <c r="G76" s="141">
        <f>SUM(D76:F76)</f>
        <v/>
      </c>
      <c r="H76" s="141">
        <f>G76-E76-D76</f>
        <v/>
      </c>
    </row>
    <row r="77" outlineLevel="1">
      <c r="B77" s="221" t="n"/>
      <c r="C77" s="219" t="inlineStr">
        <is>
          <t>No</t>
        </is>
      </c>
      <c r="D77" s="317" t="n"/>
      <c r="E77" s="218" t="n"/>
      <c r="F77" s="140">
        <f>IF(C77&gt;"No",D77*$D$121,0)</f>
        <v/>
      </c>
      <c r="G77" s="141">
        <f>SUM(D77:F77)</f>
        <v/>
      </c>
      <c r="H77" s="141">
        <f>G77-E77-D77</f>
        <v/>
      </c>
    </row>
    <row r="78" outlineLevel="1">
      <c r="B78" s="222" t="n"/>
      <c r="C78" s="219" t="inlineStr">
        <is>
          <t>No</t>
        </is>
      </c>
      <c r="D78" s="317" t="n"/>
      <c r="E78" s="218" t="n"/>
      <c r="F78" s="140">
        <f>IF(C78&gt;"No",D78*$D$121,0)</f>
        <v/>
      </c>
      <c r="G78" s="141">
        <f>SUM(D78:F78)</f>
        <v/>
      </c>
      <c r="H78" s="141">
        <f>G78-E78-D78</f>
        <v/>
      </c>
    </row>
    <row r="79" outlineLevel="1" ht="15.75" customHeight="1">
      <c r="B79" s="595" t="inlineStr">
        <is>
          <t>Valor Patrimonial a Diciembre 31 de 2024 y Valorización</t>
        </is>
      </c>
      <c r="C79" s="971" t="n"/>
      <c r="D79" s="971" t="n"/>
      <c r="E79" s="971" t="n"/>
      <c r="F79" s="967" t="n"/>
      <c r="G79" s="142">
        <f>SUM(G63:G78)</f>
        <v/>
      </c>
      <c r="H79" s="142">
        <f>SUM(H63:H78)</f>
        <v/>
      </c>
    </row>
    <row r="80" outlineLevel="1">
      <c r="B80" s="143" t="n"/>
      <c r="C80" s="143" t="n"/>
      <c r="D80" s="143" t="n"/>
      <c r="E80" s="143" t="n"/>
      <c r="F80" s="143" t="n"/>
      <c r="G80" s="137" t="n"/>
      <c r="H80" s="137" t="n"/>
    </row>
    <row r="81">
      <c r="B81" s="655" t="n"/>
      <c r="C81" s="1002" t="n"/>
      <c r="D81" s="1002" t="n"/>
      <c r="E81" s="1002" t="n"/>
      <c r="F81" s="1002" t="n"/>
      <c r="G81" s="1002" t="n"/>
      <c r="H81" s="1002" t="n"/>
      <c r="J81" s="49" t="n"/>
    </row>
    <row r="82">
      <c r="B82" s="794" t="inlineStr">
        <is>
          <t>ACTIVOS FIJOS Y OTROS ACTIVOS - OPCIÓN 1</t>
        </is>
      </c>
      <c r="C82" s="971" t="n"/>
      <c r="D82" s="971" t="n"/>
      <c r="E82" s="971" t="n"/>
      <c r="F82" s="971" t="n"/>
      <c r="G82" s="971" t="n"/>
      <c r="H82" s="971" t="n"/>
      <c r="I82" s="971" t="n"/>
      <c r="J82" s="967" t="n"/>
    </row>
    <row r="83" ht="54.75" customHeight="1">
      <c r="B83" s="145" t="inlineStr">
        <is>
          <t>Descripción</t>
        </is>
      </c>
      <c r="C83" s="146" t="inlineStr">
        <is>
          <t>Reajuste fiscal</t>
        </is>
      </c>
      <c r="D83" s="146" t="inlineStr">
        <is>
          <t>Costo fiscal a Dic. 31 de 2024</t>
        </is>
      </c>
      <c r="E83" s="146" t="inlineStr">
        <is>
          <t>Costo de compra (y/o mejoras, val. pagadas) del 2025</t>
        </is>
      </c>
      <c r="F83" s="139" t="inlineStr">
        <is>
          <t>Reajuste fiscal 2025 5,81% Dec. 0049/2026</t>
        </is>
      </c>
      <c r="G83" s="146" t="inlineStr">
        <is>
          <t>Costo fiscal a Dic. 31 de 2025</t>
        </is>
      </c>
      <c r="H83" s="146" t="inlineStr">
        <is>
          <t>Avaluo Catastral o Auto avaluo catastral 2025</t>
        </is>
      </c>
      <c r="I83" s="146" t="inlineStr">
        <is>
          <t>Valor patrimonial a Dic. 31 de 2025</t>
        </is>
      </c>
      <c r="J83" s="146" t="inlineStr">
        <is>
          <t>Valorización año 2025</t>
        </is>
      </c>
    </row>
    <row r="84" ht="15" customHeight="1">
      <c r="B84" s="220" t="n"/>
      <c r="C84" s="219" t="inlineStr">
        <is>
          <t>No</t>
        </is>
      </c>
      <c r="D84" s="218" t="n"/>
      <c r="E84" s="218" t="n"/>
      <c r="F84" s="147">
        <f>IF(C84&gt;"No",D84*$D$121,0)</f>
        <v/>
      </c>
      <c r="G84" s="148">
        <f>SUM(D84:F84)</f>
        <v/>
      </c>
      <c r="H84" s="218" t="n"/>
      <c r="I84" s="149">
        <f>IF(H84&gt;G84,H84,G84)</f>
        <v/>
      </c>
      <c r="J84" s="149">
        <f>I84-E84-D84</f>
        <v/>
      </c>
    </row>
    <row r="85" ht="17" customHeight="1">
      <c r="B85" s="220" t="n"/>
      <c r="C85" s="219" t="inlineStr">
        <is>
          <t>No</t>
        </is>
      </c>
      <c r="D85" s="218" t="n"/>
      <c r="E85" s="218" t="n"/>
      <c r="F85" s="147">
        <f>IF(C85&gt;"No",D85*$D$121,0)</f>
        <v/>
      </c>
      <c r="G85" s="148">
        <f>SUM(D85:F85)</f>
        <v/>
      </c>
      <c r="H85" s="218" t="n"/>
      <c r="I85" s="149">
        <f>IF(H85&gt;G85,H85,G85)</f>
        <v/>
      </c>
      <c r="J85" s="149">
        <f>I85-E85-D85</f>
        <v/>
      </c>
      <c r="L85" s="72" t="n"/>
    </row>
    <row r="86" ht="17" customHeight="1">
      <c r="B86" s="220" t="n"/>
      <c r="C86" s="219" t="inlineStr">
        <is>
          <t>No</t>
        </is>
      </c>
      <c r="D86" s="218" t="n"/>
      <c r="E86" s="218" t="n"/>
      <c r="F86" s="147">
        <f>IF(C86&gt;"No",D86*$D$121,0)</f>
        <v/>
      </c>
      <c r="G86" s="148">
        <f>SUM(D86:F86)</f>
        <v/>
      </c>
      <c r="H86" s="218" t="n"/>
      <c r="I86" s="149">
        <f>IF(H86&gt;G86,H86,G86)</f>
        <v/>
      </c>
      <c r="J86" s="149">
        <f>I86-E86-D86</f>
        <v/>
      </c>
      <c r="L86" s="72" t="n"/>
    </row>
    <row r="87" ht="17" customHeight="1">
      <c r="B87" s="220" t="n"/>
      <c r="C87" s="219" t="inlineStr">
        <is>
          <t>No</t>
        </is>
      </c>
      <c r="D87" s="218" t="n"/>
      <c r="E87" s="218" t="n"/>
      <c r="F87" s="147">
        <f>IF(C87&gt;"No",D87*$D$121,0)</f>
        <v/>
      </c>
      <c r="G87" s="148">
        <f>SUM(D87:F87)</f>
        <v/>
      </c>
      <c r="H87" s="218" t="n"/>
      <c r="I87" s="149">
        <f>IF(H87&gt;G87,H87,G87)</f>
        <v/>
      </c>
      <c r="J87" s="149">
        <f>I87-E87-D87</f>
        <v/>
      </c>
      <c r="L87" s="72" t="n"/>
    </row>
    <row r="88" ht="17" customHeight="1">
      <c r="B88" s="220" t="n"/>
      <c r="C88" s="219" t="inlineStr">
        <is>
          <t>No</t>
        </is>
      </c>
      <c r="D88" s="218" t="n"/>
      <c r="E88" s="218" t="n"/>
      <c r="F88" s="147">
        <f>IF(C88&gt;"No",D88*$D$121,0)</f>
        <v/>
      </c>
      <c r="G88" s="148">
        <f>SUM(D88:F88)</f>
        <v/>
      </c>
      <c r="H88" s="218" t="n"/>
      <c r="I88" s="149">
        <f>IF(H88&gt;G88,H88,G88)</f>
        <v/>
      </c>
      <c r="J88" s="149">
        <f>I88-E88-D88</f>
        <v/>
      </c>
      <c r="L88" s="72" t="n"/>
    </row>
    <row r="89" ht="17" customHeight="1">
      <c r="B89" s="220" t="n"/>
      <c r="C89" s="219" t="inlineStr">
        <is>
          <t>No</t>
        </is>
      </c>
      <c r="D89" s="218" t="n"/>
      <c r="E89" s="218" t="n"/>
      <c r="F89" s="147">
        <f>IF(C89&gt;"No",D89*$D$121,0)</f>
        <v/>
      </c>
      <c r="G89" s="148">
        <f>SUM(D89:F89)</f>
        <v/>
      </c>
      <c r="H89" s="218" t="n"/>
      <c r="I89" s="149">
        <f>IF(H89&gt;G89,H89,G89)</f>
        <v/>
      </c>
      <c r="J89" s="149">
        <f>I89-E89-D89</f>
        <v/>
      </c>
      <c r="L89" s="72" t="n"/>
    </row>
    <row r="90" ht="17" customHeight="1">
      <c r="B90" s="220" t="n"/>
      <c r="C90" s="219" t="inlineStr">
        <is>
          <t>No</t>
        </is>
      </c>
      <c r="D90" s="218" t="n"/>
      <c r="E90" s="218" t="n"/>
      <c r="F90" s="147">
        <f>IF(C90&gt;"No",D90*$D$121,0)</f>
        <v/>
      </c>
      <c r="G90" s="148">
        <f>SUM(D90:F90)</f>
        <v/>
      </c>
      <c r="H90" s="218" t="n"/>
      <c r="I90" s="149">
        <f>IF(H90&gt;G90,H90,G90)</f>
        <v/>
      </c>
      <c r="J90" s="149">
        <f>I90-E90-D90</f>
        <v/>
      </c>
      <c r="L90" s="72" t="n"/>
    </row>
    <row r="91" ht="17" customHeight="1">
      <c r="B91" s="220" t="n"/>
      <c r="C91" s="219" t="inlineStr">
        <is>
          <t>No</t>
        </is>
      </c>
      <c r="D91" s="218" t="n"/>
      <c r="E91" s="218" t="n"/>
      <c r="F91" s="147">
        <f>IF(C91&gt;"No",D91*$D$121,0)</f>
        <v/>
      </c>
      <c r="G91" s="148">
        <f>SUM(D91:F91)</f>
        <v/>
      </c>
      <c r="H91" s="218" t="n"/>
      <c r="I91" s="149">
        <f>IF(H91&gt;G91,H91,G91)</f>
        <v/>
      </c>
      <c r="J91" s="149">
        <f>I91-E91-D91</f>
        <v/>
      </c>
      <c r="L91" s="72" t="n"/>
    </row>
    <row r="92" ht="17" customHeight="1">
      <c r="B92" s="220" t="n"/>
      <c r="C92" s="219" t="inlineStr">
        <is>
          <t>No</t>
        </is>
      </c>
      <c r="D92" s="218" t="n"/>
      <c r="E92" s="218" t="n"/>
      <c r="F92" s="147">
        <f>IF(C92&gt;"No",D92*$D$121,0)</f>
        <v/>
      </c>
      <c r="G92" s="148">
        <f>SUM(D92:F92)</f>
        <v/>
      </c>
      <c r="H92" s="218" t="n"/>
      <c r="I92" s="149">
        <f>IF(H92&gt;G92,H92,G92)</f>
        <v/>
      </c>
      <c r="J92" s="149">
        <f>I92-E92-D92</f>
        <v/>
      </c>
      <c r="L92" s="72" t="n"/>
    </row>
    <row r="93" ht="17" customHeight="1">
      <c r="B93" s="220" t="n"/>
      <c r="C93" s="219" t="inlineStr">
        <is>
          <t>No</t>
        </is>
      </c>
      <c r="D93" s="218" t="n"/>
      <c r="E93" s="218" t="n"/>
      <c r="F93" s="147">
        <f>IF(C93&gt;"No",D93*$D$121,0)</f>
        <v/>
      </c>
      <c r="G93" s="148">
        <f>SUM(D93:F93)</f>
        <v/>
      </c>
      <c r="H93" s="218" t="n"/>
      <c r="I93" s="149">
        <f>IF(H93&gt;G93,H93,G93)</f>
        <v/>
      </c>
      <c r="J93" s="149">
        <f>I93-E93-D93</f>
        <v/>
      </c>
      <c r="L93" s="72" t="n"/>
    </row>
    <row r="94" ht="17" customHeight="1">
      <c r="B94" s="220" t="n"/>
      <c r="C94" s="219" t="inlineStr">
        <is>
          <t>No</t>
        </is>
      </c>
      <c r="D94" s="218" t="n"/>
      <c r="E94" s="218" t="n"/>
      <c r="F94" s="147">
        <f>IF(C94&gt;"No",D94*$D$121,0)</f>
        <v/>
      </c>
      <c r="G94" s="148">
        <f>SUM(D94:F94)</f>
        <v/>
      </c>
      <c r="H94" s="218" t="n"/>
      <c r="I94" s="149">
        <f>IF(H94&gt;G94,H94,G94)</f>
        <v/>
      </c>
      <c r="J94" s="149">
        <f>I94-E94-D94</f>
        <v/>
      </c>
    </row>
    <row r="95" ht="17" customHeight="1">
      <c r="B95" s="220" t="n"/>
      <c r="C95" s="219" t="inlineStr">
        <is>
          <t>No</t>
        </is>
      </c>
      <c r="D95" s="218" t="n"/>
      <c r="E95" s="218" t="n"/>
      <c r="F95" s="147">
        <f>IF(C95&gt;"No",D95*$D$121,0)</f>
        <v/>
      </c>
      <c r="G95" s="148">
        <f>SUM(D95:F95)</f>
        <v/>
      </c>
      <c r="H95" s="218" t="n"/>
      <c r="I95" s="149">
        <f>IF(H95&gt;G95,H95,G95)</f>
        <v/>
      </c>
      <c r="J95" s="149">
        <f>I95-E95-D95</f>
        <v/>
      </c>
    </row>
    <row r="96" ht="17" customHeight="1">
      <c r="B96" s="220" t="n"/>
      <c r="C96" s="219" t="inlineStr">
        <is>
          <t>No</t>
        </is>
      </c>
      <c r="D96" s="218" t="n"/>
      <c r="E96" s="218" t="n"/>
      <c r="F96" s="147">
        <f>IF(C96&gt;"No",D96*$D$121,0)</f>
        <v/>
      </c>
      <c r="G96" s="148">
        <f>SUM(D96:F96)</f>
        <v/>
      </c>
      <c r="H96" s="218" t="n"/>
      <c r="I96" s="149">
        <f>IF(H96&gt;G96,H96,G96)</f>
        <v/>
      </c>
      <c r="J96" s="149">
        <f>I96-E96-D96</f>
        <v/>
      </c>
    </row>
    <row r="97" ht="17" customHeight="1">
      <c r="B97" s="220" t="n"/>
      <c r="C97" s="219" t="inlineStr">
        <is>
          <t>No</t>
        </is>
      </c>
      <c r="D97" s="218" t="n"/>
      <c r="E97" s="218" t="n"/>
      <c r="F97" s="147">
        <f>IF(C97&gt;"No",D97*$D$121,0)</f>
        <v/>
      </c>
      <c r="G97" s="148">
        <f>SUM(D97:F97)</f>
        <v/>
      </c>
      <c r="H97" s="218" t="n"/>
      <c r="I97" s="149">
        <f>IF(H97&gt;G97,H97,G97)</f>
        <v/>
      </c>
      <c r="J97" s="149">
        <f>I97-E97-D97</f>
        <v/>
      </c>
    </row>
    <row r="98" ht="17" customHeight="1">
      <c r="B98" s="220" t="n"/>
      <c r="C98" s="219" t="inlineStr">
        <is>
          <t>No</t>
        </is>
      </c>
      <c r="D98" s="218" t="n"/>
      <c r="E98" s="218" t="n"/>
      <c r="F98" s="147">
        <f>IF(C98&gt;"No",D98*$D$121,0)</f>
        <v/>
      </c>
      <c r="G98" s="148">
        <f>SUM(D98:F98)</f>
        <v/>
      </c>
      <c r="H98" s="218" t="n"/>
      <c r="I98" s="149">
        <f>IF(H98&gt;G98,H98,G98)</f>
        <v/>
      </c>
      <c r="J98" s="149">
        <f>I98-E98-D98</f>
        <v/>
      </c>
    </row>
    <row r="99" ht="17" customHeight="1">
      <c r="B99" s="220" t="n"/>
      <c r="C99" s="219" t="inlineStr">
        <is>
          <t>No</t>
        </is>
      </c>
      <c r="D99" s="218" t="n"/>
      <c r="E99" s="218" t="n"/>
      <c r="F99" s="147">
        <f>IF(C99&gt;"No",D99*$D$121,0)</f>
        <v/>
      </c>
      <c r="G99" s="148">
        <f>SUM(D99:F99)</f>
        <v/>
      </c>
      <c r="H99" s="218" t="n"/>
      <c r="I99" s="149">
        <f>IF(H99&gt;G99,H99,G99)</f>
        <v/>
      </c>
      <c r="J99" s="149">
        <f>I99-E99-D99</f>
        <v/>
      </c>
    </row>
    <row r="100" ht="17" customHeight="1">
      <c r="B100" s="220" t="n"/>
      <c r="C100" s="219" t="inlineStr">
        <is>
          <t>No</t>
        </is>
      </c>
      <c r="D100" s="218" t="n"/>
      <c r="E100" s="218" t="n"/>
      <c r="F100" s="147">
        <f>IF(C100&gt;"No",D100*$D$121,0)</f>
        <v/>
      </c>
      <c r="G100" s="148">
        <f>SUM(D100:F100)</f>
        <v/>
      </c>
      <c r="H100" s="218" t="n"/>
      <c r="I100" s="149">
        <f>IF(H100&gt;G100,H100,G100)</f>
        <v/>
      </c>
      <c r="J100" s="149">
        <f>I100-E100-D100</f>
        <v/>
      </c>
    </row>
    <row r="101" ht="15.75" customHeight="1">
      <c r="B101" s="595" t="inlineStr">
        <is>
          <t>Valor Patrimonial a Diciembre 31 de 2024 y Valorización</t>
        </is>
      </c>
      <c r="C101" s="971" t="n"/>
      <c r="D101" s="971" t="n"/>
      <c r="E101" s="971" t="n"/>
      <c r="F101" s="971" t="n"/>
      <c r="G101" s="971" t="n"/>
      <c r="H101" s="967" t="n"/>
      <c r="I101" s="142">
        <f>SUM(I84:I100)</f>
        <v/>
      </c>
      <c r="J101" s="142">
        <f>SUM(J84:J100)</f>
        <v/>
      </c>
    </row>
    <row r="102">
      <c r="B102" s="143" t="n"/>
      <c r="C102" s="143" t="n"/>
      <c r="D102" s="143" t="n"/>
      <c r="E102" s="143" t="n"/>
      <c r="F102" s="143" t="n"/>
      <c r="G102" s="143" t="n"/>
      <c r="H102" s="143" t="n"/>
      <c r="I102" s="137" t="n"/>
      <c r="J102" s="137" t="n"/>
    </row>
    <row r="103">
      <c r="B103" s="656" t="n"/>
      <c r="C103" s="1003" t="n"/>
      <c r="D103" s="1003" t="n"/>
      <c r="E103" s="1003" t="n"/>
      <c r="F103" s="1003" t="n"/>
      <c r="G103" s="151" t="n"/>
      <c r="H103" s="152" t="n"/>
      <c r="I103" s="49" t="n"/>
      <c r="J103" s="49" t="n"/>
      <c r="L103" s="49" t="n"/>
      <c r="M103" s="49" t="n"/>
    </row>
    <row r="104">
      <c r="B104" s="651" t="inlineStr">
        <is>
          <t>ACTIVOS FIJOS Y ACCIONES OPCIÓN 2 ART. 73 E.T.</t>
        </is>
      </c>
      <c r="C104" s="964" t="n"/>
      <c r="D104" s="964" t="n"/>
      <c r="E104" s="964" t="n"/>
      <c r="F104" s="964" t="n"/>
      <c r="G104" s="964" t="n"/>
      <c r="H104" s="964" t="n"/>
      <c r="I104" s="964" t="n"/>
    </row>
    <row r="105" ht="76.5" customHeight="1">
      <c r="B105" s="145" t="inlineStr">
        <is>
          <t>Descripción</t>
        </is>
      </c>
      <c r="C105" s="146" t="inlineStr">
        <is>
          <t>Costo fiscal a Dic. 31 de 2024</t>
        </is>
      </c>
      <c r="D105" s="146" t="inlineStr">
        <is>
          <t>Costo original de adquisición</t>
        </is>
      </c>
      <c r="E105" s="146" t="inlineStr">
        <is>
          <t>BIENES RAICES O ACCIONES</t>
        </is>
      </c>
      <c r="F105" s="146" t="inlineStr">
        <is>
          <t>FECHA DE ADQUISICIÓN</t>
        </is>
      </c>
      <c r="G105" s="146" t="inlineStr">
        <is>
          <t>Factor según tabla art. 73 E.T. (Art. 1 Dec. 0049 2026)</t>
        </is>
      </c>
      <c r="H105" s="146" t="inlineStr">
        <is>
          <t>Total costo fiscal Dic. 31 de 2025</t>
        </is>
      </c>
      <c r="I105" s="146" t="inlineStr">
        <is>
          <t>Valorización año 2025</t>
        </is>
      </c>
    </row>
    <row r="106" ht="34" customHeight="1">
      <c r="B106" s="220" t="n"/>
      <c r="C106" s="218" t="n"/>
      <c r="D106" s="218" t="n"/>
      <c r="E106" s="218" t="n"/>
      <c r="F106" s="223" t="n"/>
      <c r="G106" s="153">
        <f>IF('Pat bruto'!E106="ACCIONES",VLOOKUP('Pat bruto'!F106,Sheet1!$B$5:$F$75,2),IF('Pat bruto'!E106="BIENES URBANOS",VLOOKUP('Pat bruto'!F106,Sheet1!$B$5:$F$75,3),IF('Pat bruto'!E106="BIENES RURALES",VLOOKUP('Pat bruto'!F106,Sheet1!$B$5:$F$75,5),IF('Pat bruto'!E106="Bienes Raíces Rurales dedicados a actividades agropecuarias",VLOOKUP('Pat bruto'!F106,Sheet1!$B$5:$F$75,4),0))))</f>
        <v/>
      </c>
      <c r="H106" s="141">
        <f>D106*'Pat bruto'!G106</f>
        <v/>
      </c>
      <c r="I106" s="141">
        <f>+H106-C106</f>
        <v/>
      </c>
      <c r="L106" s="72" t="n"/>
      <c r="M106" s="72" t="n"/>
    </row>
    <row r="107">
      <c r="B107" s="220" t="n"/>
      <c r="C107" s="218" t="n"/>
      <c r="D107" s="218" t="n"/>
      <c r="E107" s="218" t="n"/>
      <c r="F107" s="223" t="n"/>
      <c r="G107" s="153">
        <f>IF('Pat bruto'!E107="ACCIONES",VLOOKUP('Pat bruto'!F107,Sheet1!$B$5:$F$75,2),IF('Pat bruto'!E107="BIENES URBANOS",VLOOKUP('Pat bruto'!F107,Sheet1!$B$5:$F$75,3),IF('Pat bruto'!E107="BIENES RURALES",VLOOKUP('Pat bruto'!F107,Sheet1!$B$5:$F$75,5),IF('Pat bruto'!E107="Bienes Raíces Rurales dedicados a actividades agropecuarias",VLOOKUP('Pat bruto'!F107,Sheet1!$B$5:$F$75,4),0))))</f>
        <v/>
      </c>
      <c r="H107" s="141">
        <f>D107*G107</f>
        <v/>
      </c>
      <c r="I107" s="141">
        <f>+H107-C107</f>
        <v/>
      </c>
      <c r="L107" s="72" t="n"/>
      <c r="M107" s="72" t="n"/>
    </row>
    <row r="108">
      <c r="B108" s="220" t="n"/>
      <c r="C108" s="218" t="n"/>
      <c r="D108" s="218" t="n"/>
      <c r="E108" s="218" t="n"/>
      <c r="F108" s="223" t="n"/>
      <c r="G108" s="153">
        <f>IF('Pat bruto'!E108="ACCIONES",VLOOKUP('Pat bruto'!F108,Sheet1!$B$5:$F$75,2),IF('Pat bruto'!E108="BIENES URBANOS",VLOOKUP('Pat bruto'!F108,Sheet1!$B$5:$F$75,3),IF('Pat bruto'!E108="BIENES RURALES",VLOOKUP('Pat bruto'!F108,Sheet1!$B$5:$F$75,5),IF('Pat bruto'!E108="Bienes Raíces Rurales dedicados a actividades agropecuarias",VLOOKUP('Pat bruto'!F108,Sheet1!$B$5:$F$75,4),0))))</f>
        <v/>
      </c>
      <c r="H108" s="141">
        <f>D108*G108</f>
        <v/>
      </c>
      <c r="I108" s="141">
        <f>+H108-C108</f>
        <v/>
      </c>
      <c r="L108" s="72" t="n"/>
    </row>
    <row r="109">
      <c r="B109" s="220" t="n"/>
      <c r="C109" s="218" t="n"/>
      <c r="D109" s="218" t="n"/>
      <c r="E109" s="218" t="n"/>
      <c r="F109" s="223" t="n"/>
      <c r="G109" s="153">
        <f>IF('Pat bruto'!E109="ACCIONES",VLOOKUP('Pat bruto'!F109,Sheet1!$B$5:$F$75,2),IF('Pat bruto'!E109="BIENES URBANOS",VLOOKUP('Pat bruto'!F109,Sheet1!$B$5:$F$75,3),IF('Pat bruto'!E109="BIENES RURALES",VLOOKUP('Pat bruto'!F109,Sheet1!$B$5:$F$75,5),IF('Pat bruto'!E109="Bienes Raíces Rurales dedicados a actividades agropecuarias",VLOOKUP('Pat bruto'!F109,Sheet1!$B$5:$F$75,4),0))))</f>
        <v/>
      </c>
      <c r="H109" s="141">
        <f>D109*G109</f>
        <v/>
      </c>
      <c r="I109" s="141">
        <f>+H109-C109</f>
        <v/>
      </c>
    </row>
    <row r="110">
      <c r="B110" s="220" t="n"/>
      <c r="C110" s="218" t="n"/>
      <c r="D110" s="218" t="n"/>
      <c r="E110" s="218" t="n"/>
      <c r="F110" s="223" t="n"/>
      <c r="G110" s="153">
        <f>IF('Pat bruto'!E110="ACCIONES",VLOOKUP('Pat bruto'!F110,Sheet1!$B$5:$F$75,2),IF('Pat bruto'!E110="BIENES URBANOS",VLOOKUP('Pat bruto'!F110,Sheet1!$B$5:$F$75,3),IF('Pat bruto'!E110="BIENES RURALES",VLOOKUP('Pat bruto'!F110,Sheet1!$B$5:$F$75,5),IF('Pat bruto'!E110="Bienes Raíces Rurales dedicados a actividades agropecuarias",VLOOKUP('Pat bruto'!F110,Sheet1!$B$5:$F$75,4),0))))</f>
        <v/>
      </c>
      <c r="H110" s="141">
        <f>D110*G110</f>
        <v/>
      </c>
      <c r="I110" s="141">
        <f>+H110-C110</f>
        <v/>
      </c>
    </row>
    <row r="111">
      <c r="B111" s="220" t="n"/>
      <c r="C111" s="218" t="n"/>
      <c r="D111" s="218" t="n"/>
      <c r="E111" s="218" t="n"/>
      <c r="F111" s="223" t="n"/>
      <c r="G111" s="153">
        <f>IF('Pat bruto'!E111="ACCIONES",VLOOKUP('Pat bruto'!F111,Sheet1!$B$5:$F$75,2),IF('Pat bruto'!E111="BIENES URBANOS",VLOOKUP('Pat bruto'!F111,Sheet1!$B$5:$F$75,3),IF('Pat bruto'!E111="BIENES RURALES",VLOOKUP('Pat bruto'!F111,Sheet1!$B$5:$F$75,5),IF('Pat bruto'!E111="Bienes Raíces Rurales dedicados a actividades agropecuarias",VLOOKUP('Pat bruto'!F111,Sheet1!$B$5:$F$75,4),0))))</f>
        <v/>
      </c>
      <c r="H111" s="141">
        <f>D111*G111</f>
        <v/>
      </c>
      <c r="I111" s="141">
        <f>+H111-C111</f>
        <v/>
      </c>
    </row>
    <row r="112">
      <c r="B112" s="220" t="n"/>
      <c r="C112" s="218" t="n"/>
      <c r="D112" s="218" t="n"/>
      <c r="E112" s="218" t="n"/>
      <c r="F112" s="223" t="n"/>
      <c r="G112" s="153">
        <f>IF('Pat bruto'!E112="ACCIONES",VLOOKUP('Pat bruto'!F112,Sheet1!$B$5:$F$75,2),IF('Pat bruto'!E112="BIENES URBANOS",VLOOKUP('Pat bruto'!F112,Sheet1!$B$5:$F$75,3),IF('Pat bruto'!E112="BIENES RURALES",VLOOKUP('Pat bruto'!F112,Sheet1!$B$5:$F$75,5),IF('Pat bruto'!E112="Bienes Raíces Rurales dedicados a actividades agropecuarias",VLOOKUP('Pat bruto'!F112,Sheet1!$B$5:$F$75,4),0))))</f>
        <v/>
      </c>
      <c r="H112" s="141">
        <f>D112*G112</f>
        <v/>
      </c>
      <c r="I112" s="141">
        <f>+H112-C112</f>
        <v/>
      </c>
    </row>
    <row r="113">
      <c r="B113" s="220" t="n"/>
      <c r="C113" s="218" t="n"/>
      <c r="D113" s="218" t="n"/>
      <c r="E113" s="218" t="n"/>
      <c r="F113" s="223" t="n"/>
      <c r="G113" s="153">
        <f>IF('Pat bruto'!E113="ACCIONES",VLOOKUP('Pat bruto'!F113,Sheet1!$B$5:$F$75,2),IF('Pat bruto'!E113="BIENES URBANOS",VLOOKUP('Pat bruto'!F113,Sheet1!$B$5:$F$75,3),IF('Pat bruto'!E113="BIENES RURALES",VLOOKUP('Pat bruto'!F113,Sheet1!$B$5:$F$75,5),IF('Pat bruto'!E113="Bienes Raíces Rurales dedicados a actividades agropecuarias",VLOOKUP('Pat bruto'!F113,Sheet1!$B$5:$F$75,4),0))))</f>
        <v/>
      </c>
      <c r="H113" s="141">
        <f>D113*G113</f>
        <v/>
      </c>
      <c r="I113" s="141">
        <f>+H113-C113</f>
        <v/>
      </c>
    </row>
    <row r="114">
      <c r="B114" s="220" t="n"/>
      <c r="C114" s="218" t="n"/>
      <c r="D114" s="218" t="n"/>
      <c r="E114" s="218" t="n"/>
      <c r="F114" s="223" t="n"/>
      <c r="G114" s="153">
        <f>IF('Pat bruto'!E114="ACCIONES",VLOOKUP('Pat bruto'!F114,Sheet1!$B$5:$F$75,2),IF('Pat bruto'!E114="BIENES URBANOS",VLOOKUP('Pat bruto'!F114,Sheet1!$B$5:$F$75,3),IF('Pat bruto'!E114="BIENES RURALES",VLOOKUP('Pat bruto'!F114,Sheet1!$B$5:$F$75,5),IF('Pat bruto'!E114="Bienes Raíces Rurales dedicados a actividades agropecuarias",VLOOKUP('Pat bruto'!F114,Sheet1!$B$5:$F$75,4),0))))</f>
        <v/>
      </c>
      <c r="H114" s="141">
        <f>D114*G114</f>
        <v/>
      </c>
      <c r="I114" s="141">
        <f>+H114-C114</f>
        <v/>
      </c>
    </row>
    <row r="115">
      <c r="B115" s="220" t="n"/>
      <c r="C115" s="218" t="n"/>
      <c r="D115" s="218" t="n"/>
      <c r="E115" s="218" t="n"/>
      <c r="F115" s="223" t="n"/>
      <c r="G115" s="153">
        <f>IF('Pat bruto'!E115="ACCIONES",VLOOKUP('Pat bruto'!F115,Sheet1!$B$5:$F$75,2),IF('Pat bruto'!E115="BIENES URBANOS",VLOOKUP('Pat bruto'!F115,Sheet1!$B$5:$F$75,3),IF('Pat bruto'!E115="BIENES RURALES",VLOOKUP('Pat bruto'!F115,Sheet1!$B$5:$F$75,5),IF('Pat bruto'!E115="Bienes Raíces Rurales dedicados a actividades agropecuarias",VLOOKUP('Pat bruto'!F115,Sheet1!$B$5:$F$75,4),0))))</f>
        <v/>
      </c>
      <c r="H115" s="141">
        <f>D115*G115</f>
        <v/>
      </c>
      <c r="I115" s="141">
        <f>+H115-C115</f>
        <v/>
      </c>
    </row>
    <row r="116">
      <c r="B116" s="220" t="n"/>
      <c r="C116" s="218" t="n"/>
      <c r="D116" s="218" t="n"/>
      <c r="E116" s="218" t="n"/>
      <c r="F116" s="223" t="n"/>
      <c r="G116" s="153">
        <f>IF('Pat bruto'!E116="ACCIONES",VLOOKUP('Pat bruto'!F116,Sheet1!$B$5:$F$75,2),IF('Pat bruto'!E116="BIENES URBANOS",VLOOKUP('Pat bruto'!F116,Sheet1!$B$5:$F$75,3),IF('Pat bruto'!E116="BIENES RURALES",VLOOKUP('Pat bruto'!F116,Sheet1!$B$5:$F$75,5),IF('Pat bruto'!E116="Bienes Raíces Rurales dedicados a actividades agropecuarias",VLOOKUP('Pat bruto'!F116,Sheet1!$B$5:$F$75,4),0))))</f>
        <v/>
      </c>
      <c r="H116" s="141">
        <f>D116*G116</f>
        <v/>
      </c>
      <c r="I116" s="141">
        <f>+H116-C116</f>
        <v/>
      </c>
    </row>
    <row r="117" ht="15.75" customHeight="1">
      <c r="B117" s="239" t="inlineStr">
        <is>
          <t>Valor Patrimonial a Diciembre 31 de 2024 y Valorización</t>
        </is>
      </c>
      <c r="C117" s="240" t="n"/>
      <c r="D117" s="240" t="n"/>
      <c r="E117" s="240" t="n"/>
      <c r="F117" s="240" t="n"/>
      <c r="G117" s="240" t="n"/>
      <c r="H117" s="154">
        <f>SUM(H106:H116)</f>
        <v/>
      </c>
      <c r="I117" s="154">
        <f>SUM(I106:I116)</f>
        <v/>
      </c>
    </row>
    <row r="118">
      <c r="B118" s="150" t="n"/>
      <c r="C118" s="656" t="n"/>
      <c r="D118" s="49" t="n"/>
      <c r="E118" s="49" t="n"/>
      <c r="F118" s="49" t="n"/>
      <c r="G118" s="151" t="n"/>
      <c r="H118" s="152" t="n"/>
      <c r="I118" s="49" t="n"/>
      <c r="J118" s="49" t="n"/>
    </row>
    <row r="119" ht="16" customHeight="1">
      <c r="B119" s="1004" t="inlineStr">
        <is>
          <t>Total Patrimonio Bruto y Total valorizaciones</t>
        </is>
      </c>
      <c r="C119" s="971" t="n"/>
      <c r="D119" s="971" t="n"/>
      <c r="E119" s="971" t="n"/>
      <c r="F119" s="967" t="n"/>
      <c r="G119" s="142">
        <f>ROUND((H117+I101+G79+D58+D29),-3)</f>
        <v/>
      </c>
      <c r="H119" s="142">
        <f>(I117+J101+H79)</f>
        <v/>
      </c>
      <c r="J119" s="49" t="n"/>
    </row>
    <row r="120">
      <c r="I120" s="49" t="n"/>
    </row>
    <row r="121">
      <c r="B121" s="1005" t="inlineStr">
        <is>
          <t>% de Reajuste Fiscal</t>
        </is>
      </c>
      <c r="C121" s="967" t="n"/>
      <c r="D121" s="156" t="n">
        <v>0.0581</v>
      </c>
      <c r="E121" s="73" t="n"/>
      <c r="F121" s="73" t="n"/>
    </row>
    <row r="122">
      <c r="B122" s="71" t="n"/>
      <c r="C122" s="71" t="n"/>
      <c r="D122" s="74" t="n"/>
      <c r="E122" s="74" t="n"/>
      <c r="F122" s="73" t="n"/>
      <c r="G122" s="73" t="n"/>
    </row>
  </sheetData>
  <mergeCells count="63">
    <mergeCell ref="B47:C47"/>
    <mergeCell ref="B16:C16"/>
    <mergeCell ref="B54:C54"/>
    <mergeCell ref="B7:C7"/>
    <mergeCell ref="B25:C25"/>
    <mergeCell ref="B121:C121"/>
    <mergeCell ref="B46:C46"/>
    <mergeCell ref="B22:C22"/>
    <mergeCell ref="B27:C27"/>
    <mergeCell ref="B56:C56"/>
    <mergeCell ref="B18:C18"/>
    <mergeCell ref="B82:J82"/>
    <mergeCell ref="B43:C43"/>
    <mergeCell ref="B12:C12"/>
    <mergeCell ref="B39:C39"/>
    <mergeCell ref="B58:C58"/>
    <mergeCell ref="B52:C52"/>
    <mergeCell ref="B21:C21"/>
    <mergeCell ref="B48:C48"/>
    <mergeCell ref="B11:C11"/>
    <mergeCell ref="B42:C42"/>
    <mergeCell ref="B23:C23"/>
    <mergeCell ref="B14:C14"/>
    <mergeCell ref="B17:C17"/>
    <mergeCell ref="B57:C57"/>
    <mergeCell ref="B8:C8"/>
    <mergeCell ref="B81:H81"/>
    <mergeCell ref="B53:C53"/>
    <mergeCell ref="B119:F119"/>
    <mergeCell ref="B13:C13"/>
    <mergeCell ref="B38:C38"/>
    <mergeCell ref="B44:C44"/>
    <mergeCell ref="B29:C29"/>
    <mergeCell ref="B103:F103"/>
    <mergeCell ref="B19:C19"/>
    <mergeCell ref="B34:C34"/>
    <mergeCell ref="B37:C37"/>
    <mergeCell ref="B10:C10"/>
    <mergeCell ref="B28:C28"/>
    <mergeCell ref="B40:C40"/>
    <mergeCell ref="B9:C9"/>
    <mergeCell ref="B49:C49"/>
    <mergeCell ref="B61:H61"/>
    <mergeCell ref="B101:H101"/>
    <mergeCell ref="B6:C6"/>
    <mergeCell ref="B55:C55"/>
    <mergeCell ref="B24:C24"/>
    <mergeCell ref="B15:C15"/>
    <mergeCell ref="B33:C33"/>
    <mergeCell ref="B5:C5"/>
    <mergeCell ref="B20:C20"/>
    <mergeCell ref="B51:C51"/>
    <mergeCell ref="B45:C45"/>
    <mergeCell ref="B104:I104"/>
    <mergeCell ref="B36:C36"/>
    <mergeCell ref="B32:C32"/>
    <mergeCell ref="B79:F79"/>
    <mergeCell ref="B50:C50"/>
    <mergeCell ref="B26:C26"/>
    <mergeCell ref="B41:C41"/>
    <mergeCell ref="B35:C35"/>
    <mergeCell ref="B4:C4"/>
    <mergeCell ref="B2:J2"/>
  </mergeCells>
  <dataValidations count="2">
    <dataValidation sqref="C63:C78 C84:C100" showDropDown="0" showInputMessage="1" showErrorMessage="1" allowBlank="1" type="list">
      <formula1>"Si,No"</formula1>
    </dataValidation>
    <dataValidation sqref="E106:E116" showDropDown="0" showInputMessage="1" showErrorMessage="1" allowBlank="1" type="list">
      <formula1>"ACCIONES,BIENES URBANOS,BIENES RURALES,Bienes Raíces Rurales dedicados a actividades agropecuarias"</formula1>
    </dataValidation>
  </dataValidations>
  <hyperlinks>
    <hyperlink ref="B2" location="'FORMULARIO 210'!L14" display=" PATRIMONIO BRUTO (Renglón 29)"/>
  </hyperlinks>
  <pageMargins left="0.7" right="0.7" top="0.75" bottom="0.75" header="0.3" footer="0.3"/>
  <pageSetup orientation="portrait" scale="45"/>
  <legacyDrawing xmlns:r="http://schemas.openxmlformats.org/officeDocument/2006/relationships" r:id="anysvml"/>
</worksheet>
</file>

<file path=xl/worksheets/sheet8.xml><?xml version="1.0" encoding="utf-8"?>
<worksheet xmlns="http://schemas.openxmlformats.org/spreadsheetml/2006/main">
  <sheetPr>
    <tabColor rgb="FF0070C0"/>
    <outlinePr summaryBelow="1" summaryRight="1"/>
    <pageSetUpPr/>
  </sheetPr>
  <dimension ref="A1:A1"/>
  <sheetViews>
    <sheetView workbookViewId="0">
      <selection activeCell="H32" sqref="H32"/>
    </sheetView>
  </sheetViews>
  <sheetFormatPr baseColWidth="10" defaultRowHeight="15"/>
  <sheetData/>
  <pageMargins left="0.7" right="0.7" top="0.75" bottom="0.75" header="0.3" footer="0.3"/>
</worksheet>
</file>

<file path=xl/worksheets/sheet9.xml><?xml version="1.0" encoding="utf-8"?>
<worksheet xmlns="http://schemas.openxmlformats.org/spreadsheetml/2006/main">
  <sheetPr codeName="Hoja5">
    <tabColor rgb="FFFF0000"/>
    <outlinePr summaryBelow="1" summaryRight="1"/>
    <pageSetUpPr/>
  </sheetPr>
  <dimension ref="B2:AT116"/>
  <sheetViews>
    <sheetView topLeftCell="C65" zoomScale="131" workbookViewId="0">
      <selection activeCell="K18" sqref="K18"/>
    </sheetView>
  </sheetViews>
  <sheetFormatPr baseColWidth="10" defaultRowHeight="15"/>
  <cols>
    <col width="4.6640625" customWidth="1" min="1" max="1"/>
    <col width="20.1640625" bestFit="1" customWidth="1" min="2" max="2"/>
    <col width="18.33203125" bestFit="1" customWidth="1" min="3" max="3"/>
    <col width="18.33203125" customWidth="1" min="4" max="4"/>
    <col width="26.6640625" customWidth="1" min="5" max="5"/>
    <col width="13" customWidth="1" min="6" max="6"/>
    <col width="5.1640625" bestFit="1" customWidth="1" min="7" max="7"/>
    <col width="27.5" customWidth="1" min="8" max="8"/>
    <col width="13.1640625" customWidth="1" min="9" max="9"/>
    <col width="14.5" bestFit="1" customWidth="1" min="10" max="10"/>
    <col width="13.5" customWidth="1" min="11" max="11"/>
    <col width="4.5" bestFit="1" customWidth="1" min="12" max="12"/>
    <col width="2" bestFit="1" customWidth="1" min="13" max="13"/>
    <col width="5.1640625" bestFit="1" customWidth="1" min="14" max="14"/>
    <col width="4.5" bestFit="1" customWidth="1" min="15" max="15"/>
    <col width="19.5" customWidth="1" min="17" max="17"/>
    <col width="14.33203125" customWidth="1" min="18" max="18"/>
    <col width="16.5" customWidth="1" min="20" max="20"/>
    <col width="16.1640625" customWidth="1" min="21" max="21"/>
    <col width="15" customWidth="1" min="22" max="22"/>
    <col width="13.1640625" customWidth="1" min="23" max="23"/>
    <col width="14.5" bestFit="1" customWidth="1" min="28" max="29"/>
    <col width="12.5" customWidth="1" min="30" max="30"/>
    <col width="46.5" customWidth="1" min="31" max="31"/>
    <col width="12" bestFit="1" customWidth="1" min="33" max="33"/>
  </cols>
  <sheetData>
    <row r="2">
      <c r="E2" t="inlineStr">
        <is>
          <t>UVT</t>
        </is>
      </c>
      <c r="F2" s="46">
        <f>'R.trabajo y honorarios'!H74</f>
        <v/>
      </c>
    </row>
    <row r="3">
      <c r="C3" s="46">
        <f>#REF!</f>
        <v/>
      </c>
      <c r="D3" s="46" t="n"/>
    </row>
    <row r="4" ht="16" customHeight="1" thickBot="1"/>
    <row r="5" ht="48" customHeight="1">
      <c r="B5" s="430" t="inlineStr">
        <is>
          <t>Año</t>
        </is>
      </c>
      <c r="C5" s="430" t="inlineStr">
        <is>
          <t>Acciones y aportes</t>
        </is>
      </c>
      <c r="D5" s="430" t="inlineStr">
        <is>
          <t>Bienes urbanos</t>
        </is>
      </c>
      <c r="E5" s="430" t="inlineStr">
        <is>
          <t>Bienes Raíces Rurales dedicados a actividades agropecuarias</t>
        </is>
      </c>
      <c r="F5" s="430" t="inlineStr">
        <is>
          <t>Bienes Rurales</t>
        </is>
      </c>
      <c r="I5" s="976">
        <f>42412*L7</f>
        <v/>
      </c>
      <c r="R5" s="676" t="inlineStr">
        <is>
          <t>Aportes voluntarios - Renta de trabajo</t>
        </is>
      </c>
      <c r="S5" s="967" t="n"/>
      <c r="U5" s="52" t="inlineStr">
        <is>
          <t>exentas al 25%</t>
        </is>
      </c>
    </row>
    <row r="6" ht="15" customHeight="1">
      <c r="B6" s="24" t="inlineStr">
        <is>
          <t>1955 y anteriores</t>
        </is>
      </c>
      <c r="C6" s="431" t="n">
        <v>4664.64</v>
      </c>
      <c r="D6" s="431" t="n">
        <v>36085.1</v>
      </c>
      <c r="E6" s="432" t="n">
        <v>34963.67</v>
      </c>
      <c r="F6" s="431" t="n">
        <v>35631.92</v>
      </c>
      <c r="H6" s="675" t="inlineStr">
        <is>
          <t>Renta de trabajo - censantias y intereses</t>
        </is>
      </c>
      <c r="I6" s="971" t="n"/>
      <c r="J6" s="971" t="n"/>
      <c r="K6" s="971" t="n"/>
      <c r="L6" s="971" t="n"/>
      <c r="M6" s="971" t="n"/>
      <c r="N6" s="971" t="n"/>
      <c r="O6" s="971" t="n"/>
      <c r="P6" s="967" t="n"/>
      <c r="R6" s="234" t="inlineStr">
        <is>
          <t>Limite 3.800 UVT</t>
        </is>
      </c>
      <c r="S6" s="234">
        <f>'R.trabajo y honorarios'!H74*3800</f>
        <v/>
      </c>
      <c r="U6" s="53">
        <f>240*12</f>
        <v/>
      </c>
    </row>
    <row r="7" ht="15" customHeight="1" thickBot="1">
      <c r="B7" s="433" t="n">
        <v>1956</v>
      </c>
      <c r="C7" s="431" t="n">
        <v>4571.26</v>
      </c>
      <c r="D7" s="431" t="n">
        <v>35363.86</v>
      </c>
      <c r="E7" s="432" t="n">
        <v>34264.84</v>
      </c>
      <c r="F7" s="431" t="n">
        <v>34919.74</v>
      </c>
      <c r="H7" s="47" t="inlineStr">
        <is>
          <t>Entre</t>
        </is>
      </c>
      <c r="I7" s="48">
        <f>L7*'R.trabajo y honorarios'!$H$74</f>
        <v/>
      </c>
      <c r="J7" s="47" t="inlineStr">
        <is>
          <t>Y</t>
        </is>
      </c>
      <c r="K7" s="48">
        <f>O7*'R.trabajo y honorarios'!$H$74</f>
        <v/>
      </c>
      <c r="L7" s="47" t="n">
        <v>350</v>
      </c>
      <c r="M7" s="47" t="inlineStr">
        <is>
          <t>UVT</t>
        </is>
      </c>
      <c r="N7" s="47" t="inlineStr">
        <is>
          <t>Y</t>
        </is>
      </c>
      <c r="O7" s="47" t="n">
        <v>410</v>
      </c>
      <c r="P7" s="50" t="n">
        <v>0.9</v>
      </c>
      <c r="R7" s="234" t="inlineStr">
        <is>
          <t>Limite ingresos</t>
        </is>
      </c>
      <c r="S7" s="234">
        <f>'R.trabajo y honorarios'!H4*30%</f>
        <v/>
      </c>
      <c r="U7" s="54">
        <f>U6*'R.trabajo y honorarios'!H74</f>
        <v/>
      </c>
    </row>
    <row r="8" ht="16" customHeight="1">
      <c r="B8" s="433" t="n">
        <v>1957</v>
      </c>
      <c r="C8" s="431" t="n">
        <v>4232.67</v>
      </c>
      <c r="D8" s="431" t="n">
        <v>32744.71</v>
      </c>
      <c r="E8" s="432" t="n">
        <v>31727.09</v>
      </c>
      <c r="F8" s="431" t="n">
        <v>32333.48</v>
      </c>
      <c r="H8" s="47" t="inlineStr">
        <is>
          <t>Entre</t>
        </is>
      </c>
      <c r="I8" s="48">
        <f>L8*'R.trabajo y honorarios'!$H$74</f>
        <v/>
      </c>
      <c r="J8" s="47" t="inlineStr">
        <is>
          <t>Y</t>
        </is>
      </c>
      <c r="K8" s="48">
        <f>O8*'R.trabajo y honorarios'!$H$74</f>
        <v/>
      </c>
      <c r="L8" s="47" t="n">
        <v>410</v>
      </c>
      <c r="M8" s="47" t="inlineStr">
        <is>
          <t>UVT</t>
        </is>
      </c>
      <c r="N8" s="47" t="inlineStr">
        <is>
          <t>Y</t>
        </is>
      </c>
      <c r="O8" s="47" t="n">
        <v>470</v>
      </c>
      <c r="P8" s="50" t="n">
        <v>0.8</v>
      </c>
      <c r="R8" s="47" t="inlineStr">
        <is>
          <t>Valor reportado</t>
        </is>
      </c>
      <c r="S8" s="48">
        <f>'R.trabajo y honorarios'!F50+'R.trabajo y honorarios'!F51</f>
        <v/>
      </c>
    </row>
    <row r="9" ht="16" customHeight="1">
      <c r="B9" s="433" t="n">
        <v>1958</v>
      </c>
      <c r="C9" s="431" t="n">
        <v>3571.2</v>
      </c>
      <c r="D9" s="431" t="n">
        <v>27626.91</v>
      </c>
      <c r="E9" s="432" t="n">
        <v>26768.34</v>
      </c>
      <c r="F9" s="431" t="n">
        <v>27279.95</v>
      </c>
      <c r="H9" s="47" t="inlineStr">
        <is>
          <t>Entre</t>
        </is>
      </c>
      <c r="I9" s="48">
        <f>L9*'R.trabajo y honorarios'!$H$74</f>
        <v/>
      </c>
      <c r="J9" s="47" t="inlineStr">
        <is>
          <t>Y</t>
        </is>
      </c>
      <c r="K9" s="48">
        <f>O9*'R.trabajo y honorarios'!$H$74</f>
        <v/>
      </c>
      <c r="L9" s="47" t="n">
        <v>470</v>
      </c>
      <c r="M9" s="47" t="inlineStr">
        <is>
          <t>UVT</t>
        </is>
      </c>
      <c r="N9" s="47" t="inlineStr">
        <is>
          <t>Y</t>
        </is>
      </c>
      <c r="O9" s="47" t="n">
        <v>530</v>
      </c>
      <c r="P9" s="50" t="n">
        <v>0.6</v>
      </c>
      <c r="R9" s="47" t="inlineStr">
        <is>
          <t>Valor a reportar</t>
        </is>
      </c>
      <c r="S9" s="48">
        <f>MIN(S6:S8)</f>
        <v/>
      </c>
    </row>
    <row r="10" ht="16" customHeight="1">
      <c r="B10" s="433" t="n">
        <v>1959</v>
      </c>
      <c r="C10" s="431" t="n">
        <v>3264.9</v>
      </c>
      <c r="D10" s="431" t="n">
        <v>25257.62</v>
      </c>
      <c r="E10" s="432" t="n">
        <v>24472.68</v>
      </c>
      <c r="F10" s="431" t="n">
        <v>24940.42</v>
      </c>
      <c r="H10" s="47" t="inlineStr">
        <is>
          <t>Entre</t>
        </is>
      </c>
      <c r="I10" s="48">
        <f>L10*'R.trabajo y honorarios'!$H$74</f>
        <v/>
      </c>
      <c r="J10" s="47" t="inlineStr">
        <is>
          <t>Y</t>
        </is>
      </c>
      <c r="K10" s="48">
        <f>O10*'R.trabajo y honorarios'!$H$74</f>
        <v/>
      </c>
      <c r="L10" s="47" t="n">
        <v>530</v>
      </c>
      <c r="M10" s="47" t="inlineStr">
        <is>
          <t>UVT</t>
        </is>
      </c>
      <c r="N10" s="47" t="inlineStr">
        <is>
          <t>Y</t>
        </is>
      </c>
      <c r="O10" s="47" t="n">
        <v>590</v>
      </c>
      <c r="P10" s="50" t="n">
        <v>0.4</v>
      </c>
      <c r="U10" s="679" t="inlineStr">
        <is>
          <t>INCRNGO</t>
        </is>
      </c>
      <c r="V10" s="964" t="n"/>
      <c r="W10" s="964" t="n"/>
      <c r="X10" s="964" t="n"/>
    </row>
    <row r="11" ht="16" customHeight="1">
      <c r="B11" s="433" t="n">
        <v>1960</v>
      </c>
      <c r="C11" s="431" t="n">
        <v>3047.31</v>
      </c>
      <c r="D11" s="431" t="n">
        <v>23574.13</v>
      </c>
      <c r="E11" s="432" t="n">
        <v>22841.51</v>
      </c>
      <c r="F11" s="431" t="n">
        <v>23278.07</v>
      </c>
      <c r="H11" s="51" t="inlineStr">
        <is>
          <t>Entre</t>
        </is>
      </c>
      <c r="I11" s="48">
        <f>L11*'R.trabajo y honorarios'!$H$74</f>
        <v/>
      </c>
      <c r="J11" s="47" t="inlineStr">
        <is>
          <t>Y</t>
        </is>
      </c>
      <c r="K11" s="48">
        <f>O11*'R.trabajo y honorarios'!$H$74</f>
        <v/>
      </c>
      <c r="L11" s="47" t="n">
        <v>590</v>
      </c>
      <c r="M11" s="47" t="inlineStr">
        <is>
          <t>UVT</t>
        </is>
      </c>
      <c r="N11" s="47" t="inlineStr">
        <is>
          <t>Y</t>
        </is>
      </c>
      <c r="O11" s="47" t="n">
        <v>650</v>
      </c>
      <c r="P11" s="50" t="n">
        <v>0.2</v>
      </c>
      <c r="U11" s="47" t="inlineStr">
        <is>
          <t>Aporte voluntario a fondo obligatorio porvenir - RAIS - Renta de trabajo</t>
        </is>
      </c>
      <c r="V11" s="47" t="inlineStr">
        <is>
          <t>Aporte voluntario a fondo obligatorio porvenir - RAIS - Honorarios</t>
        </is>
      </c>
      <c r="W11" s="47" t="inlineStr">
        <is>
          <t>Aporte voluntario a fondo obligatorio porvenir - RAIS - Renta de capital</t>
        </is>
      </c>
      <c r="X11" s="47" t="inlineStr">
        <is>
          <t>Aporte voluntario a fondo obligatorio porvenir - RAIS - Renta no laboral</t>
        </is>
      </c>
      <c r="Y11" s="237" t="inlineStr">
        <is>
          <t>,</t>
        </is>
      </c>
    </row>
    <row r="12" ht="16" customHeight="1">
      <c r="B12" s="433" t="n">
        <v>1961</v>
      </c>
      <c r="C12" s="431" t="n">
        <v>2856.78</v>
      </c>
      <c r="D12" s="431" t="n">
        <v>21981.02</v>
      </c>
      <c r="E12" s="432" t="n">
        <v>21297.91</v>
      </c>
      <c r="F12" s="431" t="n">
        <v>21704.97</v>
      </c>
      <c r="H12" s="51" t="inlineStr">
        <is>
          <t xml:space="preserve">De </t>
        </is>
      </c>
      <c r="I12" s="48">
        <f>L12*'R.trabajo y honorarios'!$H$74</f>
        <v/>
      </c>
      <c r="J12" s="47" t="inlineStr">
        <is>
          <t>a</t>
        </is>
      </c>
      <c r="K12" s="48">
        <f>O12*'R.trabajo y honorarios'!$H$74</f>
        <v/>
      </c>
      <c r="L12" s="47" t="n">
        <v>651</v>
      </c>
      <c r="M12" s="47" t="inlineStr">
        <is>
          <t>UVT</t>
        </is>
      </c>
      <c r="N12" s="47" t="inlineStr">
        <is>
          <t>Y</t>
        </is>
      </c>
      <c r="O12" s="47" t="n">
        <v>9999</v>
      </c>
      <c r="P12" s="50" t="n">
        <v>0</v>
      </c>
      <c r="R12" t="inlineStr">
        <is>
          <t>A restar</t>
        </is>
      </c>
      <c r="S12" s="46">
        <f>S6-S9</f>
        <v/>
      </c>
      <c r="T12" t="inlineStr">
        <is>
          <t>Limite ingresos</t>
        </is>
      </c>
      <c r="U12" s="3">
        <f>'R.trabajo y honorarios'!H4*25%</f>
        <v/>
      </c>
      <c r="V12" s="3">
        <f>'R.trabajo y honorarios'!L4*25%</f>
        <v/>
      </c>
      <c r="W12" s="3">
        <f>'R.capital'!G2*25%</f>
        <v/>
      </c>
      <c r="X12" s="3">
        <f>'R.no laboral y R gravables'!G3*25%</f>
        <v/>
      </c>
      <c r="AD12" s="46" t="n"/>
    </row>
    <row r="13" ht="16" customHeight="1">
      <c r="B13" s="433" t="n">
        <v>1962</v>
      </c>
      <c r="C13" s="431" t="n">
        <v>2688.94</v>
      </c>
      <c r="D13" s="431" t="n">
        <v>20800.81</v>
      </c>
      <c r="E13" s="432" t="n">
        <v>20154.38</v>
      </c>
      <c r="F13" s="431" t="n">
        <v>20539.58</v>
      </c>
      <c r="R13" s="676" t="inlineStr">
        <is>
          <t>Aportes voluntarios - honorarios</t>
        </is>
      </c>
      <c r="S13" s="967" t="n"/>
      <c r="T13" t="inlineStr">
        <is>
          <t>Limite UVT</t>
        </is>
      </c>
      <c r="U13" s="3">
        <f>'R.trabajo y honorarios'!H74*2500</f>
        <v/>
      </c>
      <c r="V13" s="3">
        <f>U13</f>
        <v/>
      </c>
      <c r="W13" s="3">
        <f>U13</f>
        <v/>
      </c>
      <c r="X13" s="3">
        <f>W13</f>
        <v/>
      </c>
      <c r="AD13" s="1006" t="n"/>
    </row>
    <row r="14" ht="16" customHeight="1">
      <c r="B14" s="433" t="n">
        <v>1963</v>
      </c>
      <c r="C14" s="431" t="n">
        <v>2511.5</v>
      </c>
      <c r="D14" s="431" t="n">
        <v>19429.21</v>
      </c>
      <c r="E14" s="432" t="n">
        <v>18825.4</v>
      </c>
      <c r="F14" s="431" t="n">
        <v>19185.21</v>
      </c>
      <c r="I14" t="inlineStr">
        <is>
          <t>Salario mensual</t>
        </is>
      </c>
      <c r="K14" s="1006">
        <f>'R.trabajo y honorarios'!H3</f>
        <v/>
      </c>
      <c r="R14" s="234" t="inlineStr">
        <is>
          <t>Limite 3.800 UVT</t>
        </is>
      </c>
      <c r="S14" s="234">
        <f>S6</f>
        <v/>
      </c>
      <c r="T14" t="inlineStr">
        <is>
          <t>Valor reportad</t>
        </is>
      </c>
      <c r="U14" s="46">
        <f>'R.trabajo y honorarios'!F24</f>
        <v/>
      </c>
      <c r="V14" s="46">
        <f>'R.trabajo y honorarios'!J24</f>
        <v/>
      </c>
      <c r="W14" s="46">
        <f>'R.capital'!E40</f>
        <v/>
      </c>
      <c r="X14" s="46">
        <f>'R.no laboral y R gravables'!E24</f>
        <v/>
      </c>
      <c r="AD14" s="985" t="n"/>
    </row>
    <row r="15" ht="16" customHeight="1">
      <c r="B15" s="433" t="n">
        <v>1964</v>
      </c>
      <c r="C15" s="431" t="n">
        <v>1920.42</v>
      </c>
      <c r="D15" s="431" t="n">
        <v>14857.22</v>
      </c>
      <c r="E15" s="432" t="n">
        <v>14395.49</v>
      </c>
      <c r="F15" s="431" t="n">
        <v>14670.63</v>
      </c>
      <c r="I15" t="inlineStr">
        <is>
          <t>Cesantias</t>
        </is>
      </c>
      <c r="K15" s="976">
        <f>'R.trabajo y honorarios'!F52+'R.trabajo y honorarios'!F53+'R.trabajo y honorarios'!F54</f>
        <v/>
      </c>
      <c r="R15" s="234" t="inlineStr">
        <is>
          <t>Limite ingresos</t>
        </is>
      </c>
      <c r="S15" s="234">
        <f>'R.trabajo y honorarios'!L4*30%</f>
        <v/>
      </c>
      <c r="U15" s="236">
        <f>MIN(U12,U13,U14)</f>
        <v/>
      </c>
      <c r="V15" s="236">
        <f>MIN(V12,V13,V14)</f>
        <v/>
      </c>
      <c r="W15" s="236">
        <f>MIN(W12,W13,W14)</f>
        <v/>
      </c>
      <c r="X15" s="236">
        <f>MIN(X12,X13,X14)</f>
        <v/>
      </c>
    </row>
    <row r="16" ht="16" customHeight="1">
      <c r="B16" s="433" t="n">
        <v>1965</v>
      </c>
      <c r="C16" s="431" t="n">
        <v>1758.11</v>
      </c>
      <c r="D16" s="431" t="n">
        <v>13600.8</v>
      </c>
      <c r="E16" s="432" t="n">
        <v>13178.13</v>
      </c>
      <c r="F16" s="431" t="n">
        <v>13429.99</v>
      </c>
      <c r="K16" s="976">
        <f>K15*P8</f>
        <v/>
      </c>
      <c r="R16" t="inlineStr">
        <is>
          <t>Valor reportado</t>
        </is>
      </c>
      <c r="S16" s="46">
        <f>'R.trabajo y honorarios'!J50+'R.trabajo y honorarios'!J51</f>
        <v/>
      </c>
      <c r="T16" t="inlineStr">
        <is>
          <t>A resultar</t>
        </is>
      </c>
      <c r="U16" s="46">
        <f>U13-U15</f>
        <v/>
      </c>
      <c r="V16" s="260" t="n"/>
    </row>
    <row r="17" ht="16" customHeight="1">
      <c r="B17" s="433" t="n">
        <v>1966</v>
      </c>
      <c r="C17" s="431" t="n">
        <v>1533.84</v>
      </c>
      <c r="D17" s="431" t="n">
        <v>11865.93</v>
      </c>
      <c r="E17" s="432" t="n">
        <v>11497.16</v>
      </c>
      <c r="F17" s="431" t="n">
        <v>11716.9</v>
      </c>
      <c r="K17" s="976" t="n"/>
      <c r="R17" s="47" t="inlineStr">
        <is>
          <t>Valor a reportar</t>
        </is>
      </c>
      <c r="S17" s="46">
        <f>MIN(S14:S16)</f>
        <v/>
      </c>
      <c r="T17" t="inlineStr">
        <is>
          <t>Condicional 2</t>
        </is>
      </c>
      <c r="V17" s="46">
        <f>MIN(U16,V15)</f>
        <v/>
      </c>
    </row>
    <row r="18" ht="15" customHeight="1">
      <c r="B18" s="433" t="n">
        <v>1967</v>
      </c>
      <c r="C18" s="431" t="n">
        <v>1352.33</v>
      </c>
      <c r="D18" s="431" t="n">
        <v>10462.43</v>
      </c>
      <c r="E18" s="432" t="n">
        <v>10137.28</v>
      </c>
      <c r="F18" s="431" t="n">
        <v>10331.03</v>
      </c>
      <c r="I18" s="46">
        <f>'R.trabajo y honorarios'!C52</f>
        <v/>
      </c>
      <c r="J18" s="46" t="n"/>
      <c r="K18" s="976">
        <f>'R.trabajo y honorarios'!F52</f>
        <v/>
      </c>
      <c r="L18" s="98">
        <f>K18/$K$21</f>
        <v/>
      </c>
      <c r="R18" t="inlineStr">
        <is>
          <t>FINAL DE HONORARIOS</t>
        </is>
      </c>
      <c r="S18" s="46">
        <f>MIN(S12,S17)</f>
        <v/>
      </c>
      <c r="V18" s="976" t="n"/>
    </row>
    <row r="19" ht="16" customHeight="1">
      <c r="B19" s="433" t="n">
        <v>1968</v>
      </c>
      <c r="C19" s="431" t="n">
        <v>1255.75</v>
      </c>
      <c r="D19" s="431" t="n">
        <v>9714.610000000001</v>
      </c>
      <c r="E19" s="432" t="n">
        <v>9412.700000000001</v>
      </c>
      <c r="F19" s="431" t="n">
        <v>9592.6</v>
      </c>
      <c r="I19" s="46">
        <f>'R.trabajo y honorarios'!C53</f>
        <v/>
      </c>
      <c r="K19" s="976">
        <f>'R.trabajo y honorarios'!F53</f>
        <v/>
      </c>
      <c r="L19" s="98">
        <f>K19/$K$21</f>
        <v/>
      </c>
      <c r="U19" s="716" t="n"/>
    </row>
    <row r="20" ht="17" customHeight="1" thickBot="1">
      <c r="B20" s="433" t="n">
        <v>1969</v>
      </c>
      <c r="C20" s="431" t="n">
        <v>1178.09</v>
      </c>
      <c r="D20" s="431" t="n">
        <v>9113.870000000001</v>
      </c>
      <c r="E20" s="432" t="n">
        <v>8830.629999999999</v>
      </c>
      <c r="F20" s="431" t="n">
        <v>8999.41</v>
      </c>
      <c r="I20" s="46">
        <f>'R.trabajo y honorarios'!C54</f>
        <v/>
      </c>
      <c r="K20" s="976">
        <f>'R.trabajo y honorarios'!F54</f>
        <v/>
      </c>
      <c r="L20" s="98">
        <f>K20/$K$21</f>
        <v/>
      </c>
      <c r="R20" s="676" t="inlineStr">
        <is>
          <t>Aportes voluntarios - Renta de capital</t>
        </is>
      </c>
      <c r="S20" s="967" t="n"/>
      <c r="U20" s="965" t="n"/>
    </row>
    <row r="21" ht="16" customHeight="1">
      <c r="B21" s="433" t="n">
        <v>1970</v>
      </c>
      <c r="C21" s="431" t="n">
        <v>1083.26</v>
      </c>
      <c r="D21" s="431" t="n">
        <v>8380.219999999999</v>
      </c>
      <c r="E21" s="432" t="n">
        <v>8119.79</v>
      </c>
      <c r="F21" s="431" t="n">
        <v>8274.98</v>
      </c>
      <c r="I21" t="inlineStr">
        <is>
          <t>TOTAL</t>
        </is>
      </c>
      <c r="K21" s="976">
        <f>SUM(K18:K20)</f>
        <v/>
      </c>
      <c r="R21" s="234" t="inlineStr">
        <is>
          <t>Limite 3.800 UVT</t>
        </is>
      </c>
      <c r="S21" s="234">
        <f>S14</f>
        <v/>
      </c>
      <c r="AA21" s="688" t="inlineStr">
        <is>
          <t>Ingresos brutos anuales</t>
        </is>
      </c>
      <c r="AB21" s="1007" t="n"/>
      <c r="AC21" s="689" t="inlineStr">
        <is>
          <t>Ingresos brutos anuales</t>
        </is>
      </c>
      <c r="AD21" s="1007" t="n"/>
      <c r="AE21" s="684" t="inlineStr">
        <is>
          <t>Tarifa marginal</t>
        </is>
      </c>
      <c r="AF21" s="684" t="inlineStr">
        <is>
          <t>CALCULO</t>
        </is>
      </c>
      <c r="AG21" s="684" t="inlineStr">
        <is>
          <t>BASE CEDULA GENERAL Y PENSIÓN</t>
        </is>
      </c>
      <c r="AH21" s="686" t="inlineStr">
        <is>
          <t>IMPUESTO</t>
        </is>
      </c>
    </row>
    <row r="22" ht="16" customHeight="1">
      <c r="B22" s="433" t="n">
        <v>1971</v>
      </c>
      <c r="C22" s="431" t="n">
        <v>1011.41</v>
      </c>
      <c r="D22" s="431" t="n">
        <v>7823.78</v>
      </c>
      <c r="E22" s="432" t="n">
        <v>7580.64</v>
      </c>
      <c r="F22" s="431" t="n">
        <v>7725.53</v>
      </c>
      <c r="K22" s="976" t="n"/>
      <c r="R22" s="234" t="inlineStr">
        <is>
          <t>Limite ingresos</t>
        </is>
      </c>
      <c r="S22" s="234">
        <f>'R.capital'!G2*30%</f>
        <v/>
      </c>
      <c r="AA22" s="57" t="inlineStr">
        <is>
          <t xml:space="preserve">Igual o superior </t>
        </is>
      </c>
      <c r="AB22" s="58" t="inlineStr">
        <is>
          <t xml:space="preserve">Igual o superior </t>
        </is>
      </c>
      <c r="AC22" s="58" t="inlineStr">
        <is>
          <t>Inferior</t>
        </is>
      </c>
      <c r="AD22" s="58" t="n"/>
      <c r="AE22" s="970" t="n"/>
      <c r="AF22" s="970" t="n"/>
      <c r="AG22" s="970" t="n"/>
      <c r="AH22" s="1008" t="n"/>
    </row>
    <row r="23" ht="16" customHeight="1">
      <c r="B23" s="433" t="n">
        <v>1972</v>
      </c>
      <c r="C23" s="24" t="n">
        <v>896.22</v>
      </c>
      <c r="D23" s="431" t="n">
        <v>6934.19</v>
      </c>
      <c r="E23" s="432" t="n">
        <v>6718.7</v>
      </c>
      <c r="F23" s="431" t="n">
        <v>6847.11</v>
      </c>
      <c r="I23" t="inlineStr">
        <is>
          <t>LIMITE</t>
        </is>
      </c>
      <c r="K23" s="1009">
        <f>'R.trabajo y honorarios'!G52</f>
        <v/>
      </c>
      <c r="R23" t="inlineStr">
        <is>
          <t>Valor reportado</t>
        </is>
      </c>
      <c r="S23" s="46">
        <f>'R.capital'!E53+'R.capital'!E54</f>
        <v/>
      </c>
      <c r="AA23" s="1010" t="n">
        <v>0</v>
      </c>
      <c r="AB23" s="1010" t="n">
        <v>1090</v>
      </c>
      <c r="AC23" s="1010">
        <f>AA23*Sheet1!$F$2</f>
        <v/>
      </c>
      <c r="AD23" s="1010">
        <f>AB23*Sheet1!$F$2</f>
        <v/>
      </c>
      <c r="AE23" s="105" t="n">
        <v>0</v>
      </c>
      <c r="AF23" s="47" t="n">
        <v>0</v>
      </c>
      <c r="AG23" s="62">
        <f>#REF!</f>
        <v/>
      </c>
      <c r="AH23" s="1010" t="n">
        <v>0</v>
      </c>
    </row>
    <row r="24" ht="16" customHeight="1">
      <c r="B24" s="433" t="n">
        <v>1973</v>
      </c>
      <c r="C24" s="24" t="n">
        <v>788.01</v>
      </c>
      <c r="D24" s="431" t="n">
        <v>6097.77</v>
      </c>
      <c r="E24" s="432" t="n">
        <v>5908.26</v>
      </c>
      <c r="F24" s="431" t="n">
        <v>6021.19</v>
      </c>
      <c r="I24" s="46">
        <f>I18</f>
        <v/>
      </c>
      <c r="K24" s="364">
        <f>L18*$K$23</f>
        <v/>
      </c>
      <c r="R24" t="inlineStr">
        <is>
          <t>VALOR A REPORTAR</t>
        </is>
      </c>
      <c r="S24" s="46">
        <f>MIN(S21:S23)</f>
        <v/>
      </c>
      <c r="AA24" s="1010">
        <f>AB23+1</f>
        <v/>
      </c>
      <c r="AB24" s="1010" t="n">
        <v>1700</v>
      </c>
      <c r="AC24" s="1010">
        <f>AA24*Sheet1!$F$2</f>
        <v/>
      </c>
      <c r="AD24" s="1010">
        <f>AB24*Sheet1!$F$2</f>
        <v/>
      </c>
      <c r="AE24" s="105" t="n">
        <v>0.19</v>
      </c>
      <c r="AF24" s="47" t="inlineStr">
        <is>
          <t>(Base gravable en UVT Menos 1090 UVT) *19%</t>
        </is>
      </c>
      <c r="AG24" s="62">
        <f>#REF!</f>
        <v/>
      </c>
      <c r="AH24" s="1010">
        <f>(((AG24/Sheet1!$F$2)-1090)*19%)*Sheet1!AE11</f>
        <v/>
      </c>
    </row>
    <row r="25" ht="16" customHeight="1">
      <c r="B25" s="433" t="n">
        <v>1974</v>
      </c>
      <c r="C25" s="24" t="n">
        <v>643.73</v>
      </c>
      <c r="D25" s="431" t="n">
        <v>4981.35</v>
      </c>
      <c r="E25" s="432" t="n">
        <v>4826.54</v>
      </c>
      <c r="F25" s="431" t="n">
        <v>4918.79</v>
      </c>
      <c r="I25" s="46">
        <f>I19</f>
        <v/>
      </c>
      <c r="K25" s="1011">
        <f>L19*$K$23</f>
        <v/>
      </c>
      <c r="AA25" s="1010">
        <f>AB24+1</f>
        <v/>
      </c>
      <c r="AB25" s="1010" t="n">
        <v>4100</v>
      </c>
      <c r="AC25" s="1010">
        <f>AA25*Sheet1!$F$2</f>
        <v/>
      </c>
      <c r="AD25" s="1010">
        <f>AB25*Sheet1!$F$2</f>
        <v/>
      </c>
      <c r="AE25" s="105" t="n">
        <v>0.28</v>
      </c>
      <c r="AF25" s="47" t="inlineStr">
        <is>
          <t>(Base gravable en UVT Menos 1700 UVT) *28% + 116 UVT</t>
        </is>
      </c>
      <c r="AG25" s="62">
        <f>#REF!</f>
        <v/>
      </c>
      <c r="AH25" s="1010">
        <f>((((AG25/Sheet1!$F$2)-1700)*28%)+116)*Sheet1!$F$2</f>
        <v/>
      </c>
    </row>
    <row r="26" ht="16" customHeight="1">
      <c r="B26" s="433" t="n">
        <v>1975</v>
      </c>
      <c r="C26" s="24" t="n">
        <v>514.87</v>
      </c>
      <c r="D26" s="431" t="n">
        <v>3981.89</v>
      </c>
      <c r="E26" s="432" t="n">
        <v>3858.14</v>
      </c>
      <c r="F26" s="431" t="n">
        <v>3931.88</v>
      </c>
      <c r="I26" s="46">
        <f>I20</f>
        <v/>
      </c>
      <c r="K26" s="1011">
        <f>L20*$K$23</f>
        <v/>
      </c>
      <c r="R26" s="676" t="inlineStr">
        <is>
          <t>Aportes voluntarios - No laborales</t>
        </is>
      </c>
      <c r="S26" s="967" t="n"/>
      <c r="AA26" s="1010">
        <f>AB25+1</f>
        <v/>
      </c>
      <c r="AB26" s="1010" t="n">
        <v>8670</v>
      </c>
      <c r="AC26" s="1010">
        <f>AA26*Sheet1!$F$2</f>
        <v/>
      </c>
      <c r="AD26" s="1010">
        <f>AB26*Sheet1!$F$2</f>
        <v/>
      </c>
      <c r="AE26" s="105" t="n">
        <v>0.33</v>
      </c>
      <c r="AF26" s="47" t="inlineStr">
        <is>
          <t>(Base gravable en UVT Menos 4100 UVT)  *33% + 788 UVT</t>
        </is>
      </c>
      <c r="AG26" s="62">
        <f>#REF!</f>
        <v/>
      </c>
      <c r="AH26" s="1010">
        <f>((((AG26/Sheet1!$F$2)-4100)*33%)+788)*Sheet1!$F$2</f>
        <v/>
      </c>
    </row>
    <row r="27" ht="16" customHeight="1">
      <c r="B27" s="433" t="n">
        <v>1976</v>
      </c>
      <c r="C27" s="24" t="n">
        <v>437.78</v>
      </c>
      <c r="D27" s="431" t="n">
        <v>3385.47</v>
      </c>
      <c r="E27" s="432" t="n">
        <v>3281.22</v>
      </c>
      <c r="F27" s="431" t="n">
        <v>3343.94</v>
      </c>
      <c r="R27" s="234" t="inlineStr">
        <is>
          <t>Limite 3.800 UVT</t>
        </is>
      </c>
      <c r="S27" s="234">
        <f>S14</f>
        <v/>
      </c>
      <c r="AA27" s="1010">
        <f>AB26+1</f>
        <v/>
      </c>
      <c r="AB27" s="1010" t="n">
        <v>18970</v>
      </c>
      <c r="AC27" s="1010">
        <f>AA27*Sheet1!$F$2</f>
        <v/>
      </c>
      <c r="AD27" s="1010">
        <f>AB27*Sheet1!$F$2</f>
        <v/>
      </c>
      <c r="AE27" s="105" t="n">
        <v>0.35</v>
      </c>
      <c r="AF27" s="47" t="inlineStr">
        <is>
          <t>(Base gravable en UVT Menos 8670 UVT)  *35% + 2296 UVT</t>
        </is>
      </c>
      <c r="AG27" s="62">
        <f>#REF!</f>
        <v/>
      </c>
      <c r="AH27" s="1010">
        <f>((((AG27/Sheet1!$F$2)-8670)*35%)+2296)*Sheet1!$F$2</f>
        <v/>
      </c>
    </row>
    <row r="28" ht="16" customHeight="1">
      <c r="B28" s="433" t="n">
        <v>1977</v>
      </c>
      <c r="C28" s="24" t="n">
        <v>349.06</v>
      </c>
      <c r="D28" s="431" t="n">
        <v>2698.9</v>
      </c>
      <c r="E28" s="432" t="n">
        <v>2615.02</v>
      </c>
      <c r="F28" s="431" t="n">
        <v>2665</v>
      </c>
      <c r="R28" s="234" t="inlineStr">
        <is>
          <t>Limite ingresos</t>
        </is>
      </c>
      <c r="S28" s="3">
        <f>'R.no laboral y R gravables'!G3*30%</f>
        <v/>
      </c>
      <c r="AA28" s="1010">
        <f>AB27+1</f>
        <v/>
      </c>
      <c r="AB28" s="1010" t="n">
        <v>31000</v>
      </c>
      <c r="AC28" s="1010">
        <f>AA28*Sheet1!$F$2</f>
        <v/>
      </c>
      <c r="AD28" s="1010">
        <f>AB28*Sheet1!$F$2</f>
        <v/>
      </c>
      <c r="AE28" s="105" t="n">
        <v>0.37</v>
      </c>
      <c r="AF28" s="47" t="inlineStr">
        <is>
          <t>(Base gravable en UVT Menos 18970 UVT) *37% + 5901 UVT</t>
        </is>
      </c>
      <c r="AG28" s="62">
        <f>#REF!</f>
        <v/>
      </c>
      <c r="AH28" s="1010">
        <f>((((AG28/Sheet1!$F$2)-18970)*37%)+5901)*Sheet1!$F$2</f>
        <v/>
      </c>
    </row>
    <row r="29" ht="16" customHeight="1">
      <c r="B29" s="433" t="n">
        <v>1978</v>
      </c>
      <c r="C29" s="24" t="n">
        <v>273.72</v>
      </c>
      <c r="D29" s="431" t="n">
        <v>2117.65</v>
      </c>
      <c r="E29" s="432" t="n">
        <v>2051.84</v>
      </c>
      <c r="F29" s="431" t="n">
        <v>2091.05</v>
      </c>
      <c r="R29" t="inlineStr">
        <is>
          <t>Valor reportado</t>
        </is>
      </c>
      <c r="S29" s="46">
        <f>'R.no laboral y R gravables'!E64+'R.no laboral y R gravables'!E65</f>
        <v/>
      </c>
      <c r="AA29" s="1010">
        <f>AB28+1</f>
        <v/>
      </c>
      <c r="AB29" s="1010" t="inlineStr">
        <is>
          <t>En adelante</t>
        </is>
      </c>
      <c r="AC29" s="1010">
        <f>AA29*Sheet1!$F$2</f>
        <v/>
      </c>
      <c r="AD29" s="1010" t="n">
        <v>9999999999</v>
      </c>
      <c r="AE29" s="105" t="n">
        <v>0.39</v>
      </c>
      <c r="AF29" s="47" t="inlineStr">
        <is>
          <t>(Base gravable en UVT Menos 31000 UVT) *39% - 10352 UVT</t>
        </is>
      </c>
      <c r="AG29" s="62">
        <f>#REF!</f>
        <v/>
      </c>
      <c r="AH29" s="1010">
        <f>((((AG29/Sheet1!$F$2)-31000)*39%)+10352)*Sheet1!$F$2</f>
        <v/>
      </c>
    </row>
    <row r="30" ht="16" customHeight="1">
      <c r="B30" s="433" t="n">
        <v>1979</v>
      </c>
      <c r="C30" s="24" t="n">
        <v>228.64</v>
      </c>
      <c r="D30" s="431" t="n">
        <v>1768.55</v>
      </c>
      <c r="E30" s="432" t="n">
        <v>1713.59</v>
      </c>
      <c r="F30" s="431" t="n">
        <v>1746.34</v>
      </c>
      <c r="I30" s="47" t="n"/>
      <c r="J30" s="47" t="n"/>
      <c r="K30" s="47" t="inlineStr">
        <is>
          <t>Limite aportes voluntarios cesantias (Renta capital)</t>
        </is>
      </c>
      <c r="L30" s="47" t="inlineStr">
        <is>
          <t>Limite aportes voluntarios cesantias (Renta no laboral)</t>
        </is>
      </c>
      <c r="R30" t="inlineStr">
        <is>
          <t>VALOR A REPORTAR</t>
        </is>
      </c>
      <c r="S30" s="46">
        <f>MIN(S27:S29)</f>
        <v/>
      </c>
      <c r="AA30" s="26" t="n"/>
      <c r="AB30" s="26" t="n"/>
      <c r="AC30" s="26" t="n"/>
      <c r="AD30" s="26" t="n"/>
      <c r="AE30" s="1012" t="n"/>
      <c r="AF30" s="4" t="n"/>
      <c r="AG30" s="4" t="n"/>
      <c r="AH30" s="4" t="n"/>
    </row>
    <row r="31" ht="16" customHeight="1">
      <c r="B31" s="433" t="n">
        <v>1980</v>
      </c>
      <c r="C31" s="24" t="n">
        <v>180.64</v>
      </c>
      <c r="D31" s="431" t="n">
        <v>1398.18</v>
      </c>
      <c r="E31" s="432" t="n">
        <v>1354.73</v>
      </c>
      <c r="F31" s="431" t="n">
        <v>1380.62</v>
      </c>
      <c r="I31" s="3" t="n"/>
      <c r="J31" s="3" t="n"/>
      <c r="K31" s="158">
        <f>'R.capital'!G2/12</f>
        <v/>
      </c>
      <c r="L31" s="37">
        <f>'R.no laboral y R gravables'!G3*25%</f>
        <v/>
      </c>
      <c r="AA31" s="26" t="n"/>
      <c r="AB31" s="26" t="n"/>
      <c r="AC31" s="26" t="n"/>
      <c r="AD31" s="26" t="n"/>
      <c r="AE31" s="25" t="inlineStr">
        <is>
          <t xml:space="preserve">Renta  cedula </t>
        </is>
      </c>
      <c r="AF31" s="61">
        <f>IF(AND(Sheet1!AG23&gt;Sheet1!AC23,Sheet1!AG23&lt;Sheet1!AD23),Sheet1!AH23,IF(AND(Sheet1!AG24&gt;Sheet1!AC24,Sheet1!AG24&lt;Sheet1!AD24),Sheet1!AH24,IF(AND(Sheet1!AG25&gt;Sheet1!AC25,Sheet1!AG25&lt;Sheet1!AD25),Sheet1!AH25,IF(AND(Sheet1!AG26&gt;Sheet1!AC26,Sheet1!AG26&lt;Sheet1!AD26),Sheet1!AH26,IF(AND(Sheet1!AG27&gt;Sheet1!AC27,Sheet1!AG27&lt;Sheet1!AD27),Sheet1!AH27,IF(AND(Sheet1!AG28&gt;Sheet1!AC28,Sheet1!AG28&lt;Sheet1!AD28),Sheet1!AH28,IF(AND(Sheet1!AG29&gt;Sheet1!AC29,Sheet1!AG29&lt;Sheet1!AD29),Sheet1!AH29,0)))))))</f>
        <v/>
      </c>
      <c r="AG31" s="4" t="n"/>
      <c r="AH31" s="4" t="n"/>
    </row>
    <row r="32" ht="16" customHeight="1">
      <c r="B32" s="433" t="n">
        <v>1981</v>
      </c>
      <c r="C32" s="24" t="n">
        <v>145.15</v>
      </c>
      <c r="D32" s="431" t="n">
        <v>1121.73</v>
      </c>
      <c r="E32" s="432" t="n">
        <v>1086.87</v>
      </c>
      <c r="F32" s="431" t="n">
        <v>1107.65</v>
      </c>
      <c r="I32" s="3" t="n"/>
      <c r="J32" s="3" t="n"/>
      <c r="K32" s="158">
        <f>2500*'R.capital'!G68</f>
        <v/>
      </c>
      <c r="L32" s="37">
        <f>'R.no laboral y R gravables'!G87*2500</f>
        <v/>
      </c>
    </row>
    <row r="33" ht="16" customHeight="1">
      <c r="B33" s="433" t="n">
        <v>1982</v>
      </c>
      <c r="C33" s="24" t="n">
        <v>115.48</v>
      </c>
      <c r="D33" s="24" t="n">
        <v>893.13</v>
      </c>
      <c r="E33" s="433" t="n">
        <v>865.38</v>
      </c>
      <c r="F33" s="24" t="n">
        <v>881.92</v>
      </c>
      <c r="I33" s="3" t="n"/>
      <c r="J33" s="3" t="n"/>
      <c r="K33" s="158">
        <f>MIN(K31,K32)</f>
        <v/>
      </c>
      <c r="L33" s="37">
        <f>MIN(L31,L32)</f>
        <v/>
      </c>
    </row>
    <row r="34" ht="16" customHeight="1">
      <c r="B34" s="433" t="n">
        <v>1983</v>
      </c>
      <c r="C34" s="24" t="n">
        <v>92.79000000000001</v>
      </c>
      <c r="D34" s="24" t="n">
        <v>717.7</v>
      </c>
      <c r="E34" s="433" t="n">
        <v>695.39</v>
      </c>
      <c r="F34" s="24" t="n">
        <v>708.6799999999999</v>
      </c>
      <c r="I34" s="683" t="n"/>
      <c r="J34" s="958" t="n"/>
    </row>
    <row r="35" ht="16" customHeight="1">
      <c r="B35" s="433" t="n">
        <v>1984</v>
      </c>
      <c r="C35" s="24" t="n">
        <v>79.7</v>
      </c>
      <c r="D35" s="24" t="n">
        <v>616.6900000000001</v>
      </c>
      <c r="E35" s="433" t="n">
        <v>597.52</v>
      </c>
      <c r="F35" s="24" t="n">
        <v>608.9400000000001</v>
      </c>
    </row>
    <row r="36" ht="16" customHeight="1">
      <c r="B36" s="433" t="n">
        <v>1985</v>
      </c>
      <c r="C36" s="24" t="n">
        <v>67.48999999999999</v>
      </c>
      <c r="D36" s="24" t="n">
        <v>535.17</v>
      </c>
      <c r="E36" s="433" t="n">
        <v>518.54</v>
      </c>
      <c r="F36" s="24" t="n">
        <v>528.45</v>
      </c>
    </row>
    <row r="37" ht="16" customHeight="1">
      <c r="B37" s="433" t="n">
        <v>1986</v>
      </c>
      <c r="C37" s="24" t="n">
        <v>55.27</v>
      </c>
      <c r="D37" s="24" t="n">
        <v>443.02</v>
      </c>
      <c r="E37" s="433" t="n">
        <v>429.25</v>
      </c>
      <c r="F37" s="24" t="n">
        <v>437.46</v>
      </c>
    </row>
    <row r="38" ht="16" customHeight="1">
      <c r="B38" s="433" t="n">
        <v>1987</v>
      </c>
      <c r="C38" s="24" t="n">
        <v>45.67</v>
      </c>
      <c r="D38" s="24" t="n">
        <v>375.68</v>
      </c>
      <c r="E38" s="433" t="n">
        <v>364.01</v>
      </c>
      <c r="F38" s="24" t="n">
        <v>370.97</v>
      </c>
    </row>
    <row r="39" ht="16" customHeight="1">
      <c r="B39" s="433" t="n">
        <v>1988</v>
      </c>
      <c r="C39" s="24" t="n">
        <v>37.23</v>
      </c>
      <c r="D39" s="24" t="n">
        <v>283.53</v>
      </c>
      <c r="E39" s="433" t="n">
        <v>274.72</v>
      </c>
      <c r="F39" s="24" t="n">
        <v>279.97</v>
      </c>
    </row>
    <row r="40" ht="16" customHeight="1">
      <c r="B40" s="433" t="n">
        <v>1989</v>
      </c>
      <c r="C40" s="24" t="n">
        <v>29.17</v>
      </c>
      <c r="D40" s="24" t="n">
        <v>176.77</v>
      </c>
      <c r="E40" s="433" t="n">
        <v>171.27</v>
      </c>
      <c r="F40" s="24" t="n">
        <v>174.55</v>
      </c>
    </row>
    <row r="41" ht="16" customHeight="1">
      <c r="B41" s="433" t="n">
        <v>1990</v>
      </c>
      <c r="C41" s="24" t="n">
        <v>23.14</v>
      </c>
      <c r="D41" s="24" t="n">
        <v>122.25</v>
      </c>
      <c r="E41" s="433" t="n">
        <v>118.45</v>
      </c>
      <c r="F41" s="24" t="n">
        <v>120.71</v>
      </c>
    </row>
    <row r="42" ht="16" customHeight="1">
      <c r="B42" s="433" t="n">
        <v>1991</v>
      </c>
      <c r="C42" s="24" t="n">
        <v>17.54</v>
      </c>
      <c r="D42" s="24" t="n">
        <v>85.19</v>
      </c>
      <c r="E42" s="433" t="n">
        <v>82.54000000000001</v>
      </c>
      <c r="F42" s="24" t="n">
        <v>84.12</v>
      </c>
      <c r="I42" s="682" t="inlineStr">
        <is>
          <t>Limite deducciones</t>
        </is>
      </c>
      <c r="J42" s="967" t="n"/>
    </row>
    <row r="43" ht="16" customHeight="1">
      <c r="B43" s="433" t="n">
        <v>1992</v>
      </c>
      <c r="C43" s="24" t="n">
        <v>13.82</v>
      </c>
      <c r="D43" s="24" t="n">
        <v>63.81</v>
      </c>
      <c r="E43" s="435" t="n">
        <v>61.83</v>
      </c>
      <c r="F43" s="24" t="n">
        <v>63.01</v>
      </c>
      <c r="I43" s="247" t="inlineStr">
        <is>
          <t>Renta laboral</t>
        </is>
      </c>
      <c r="J43" s="1013">
        <f>'R.trabajo y honorarios'!J63</f>
        <v/>
      </c>
    </row>
    <row r="44" ht="16" customHeight="1">
      <c r="B44" s="433" t="n">
        <v>1993</v>
      </c>
      <c r="C44" s="24" t="n">
        <v>11.09</v>
      </c>
      <c r="D44" s="24" t="n">
        <v>45.35</v>
      </c>
      <c r="E44" s="433" t="n">
        <v>43.94</v>
      </c>
      <c r="F44" s="24" t="n">
        <v>44.78</v>
      </c>
      <c r="I44" s="238" t="inlineStr">
        <is>
          <t>Saldo</t>
        </is>
      </c>
      <c r="J44" s="246">
        <f>IF(AND(((1200*'R.trabajo y honorarios'!H74)-'R.trabajo y honorarios'!G63)&gt;0,'R.trabajo y honorarios'!J63&gt;0),(1200*'R.trabajo y honorarios'!H74)-'R.trabajo y honorarios'!G63,0)</f>
        <v/>
      </c>
    </row>
    <row r="45" ht="16" customHeight="1">
      <c r="B45" s="433" t="n">
        <v>1994</v>
      </c>
      <c r="C45" s="24" t="n">
        <v>9.050000000000001</v>
      </c>
      <c r="D45" s="24" t="n">
        <v>32.98</v>
      </c>
      <c r="E45" s="433" t="n">
        <v>31.96</v>
      </c>
      <c r="F45" s="24" t="n">
        <v>32.57</v>
      </c>
      <c r="I45" t="inlineStr">
        <is>
          <t>Casilla 50</t>
        </is>
      </c>
      <c r="J45" s="46">
        <f>+'R.trabajo y honorarios'!J63</f>
        <v/>
      </c>
    </row>
    <row r="46" ht="16" customHeight="1">
      <c r="B46" s="433" t="n">
        <v>1995</v>
      </c>
      <c r="C46" s="24" t="n">
        <v>7.41</v>
      </c>
      <c r="D46" s="24" t="n">
        <v>23.5</v>
      </c>
      <c r="E46" s="433" t="n">
        <v>22.77</v>
      </c>
      <c r="F46" s="24" t="n">
        <v>23.2</v>
      </c>
      <c r="I46" s="238" t="inlineStr">
        <is>
          <t>Menor</t>
        </is>
      </c>
      <c r="J46" s="246">
        <f>+MIN(J43:J45)</f>
        <v/>
      </c>
    </row>
    <row r="47" ht="16" customHeight="1">
      <c r="B47" s="433" t="n">
        <v>1996</v>
      </c>
      <c r="C47" s="24" t="n">
        <v>6.28</v>
      </c>
      <c r="D47" s="24" t="n">
        <v>17.37</v>
      </c>
      <c r="E47" s="433" t="n">
        <v>16.83</v>
      </c>
      <c r="F47" s="24" t="n">
        <v>17.15</v>
      </c>
    </row>
    <row r="48" ht="16" customHeight="1">
      <c r="B48" s="433" t="n">
        <v>1997</v>
      </c>
      <c r="C48" s="24" t="n">
        <v>5.41</v>
      </c>
      <c r="D48" s="24" t="n">
        <v>14.41</v>
      </c>
      <c r="E48" s="433" t="n">
        <v>13.97</v>
      </c>
      <c r="F48" s="24" t="n">
        <v>14.23</v>
      </c>
      <c r="I48" s="675" t="inlineStr">
        <is>
          <t>DEDUCCION DEPENDIENTES</t>
        </is>
      </c>
      <c r="J48" s="967" t="n"/>
    </row>
    <row r="49" ht="16" customHeight="1">
      <c r="B49" s="433" t="n">
        <v>1998</v>
      </c>
      <c r="C49" s="24" t="n">
        <v>4.61</v>
      </c>
      <c r="D49" s="24" t="n">
        <v>11.07</v>
      </c>
      <c r="E49" s="433" t="n">
        <v>10.73</v>
      </c>
      <c r="F49" s="24" t="n">
        <v>10.93</v>
      </c>
      <c r="I49" t="inlineStr">
        <is>
          <t>Renta de trabajo</t>
        </is>
      </c>
      <c r="J49">
        <f>+'R.trabajo y honorarios'!H4*10%</f>
        <v/>
      </c>
    </row>
    <row r="50" ht="16" customHeight="1">
      <c r="B50" s="433" t="n">
        <v>1999</v>
      </c>
      <c r="C50" s="24" t="n">
        <v>3.97</v>
      </c>
      <c r="D50" s="24" t="n">
        <v>9.23</v>
      </c>
      <c r="E50" s="433" t="n">
        <v>8.94</v>
      </c>
      <c r="F50" s="24" t="n">
        <v>9.109999999999999</v>
      </c>
      <c r="I50" t="inlineStr">
        <is>
          <t>Renta de honorarios</t>
        </is>
      </c>
      <c r="J50" s="46">
        <f>+'R.trabajo y honorarios'!L4*10%</f>
        <v/>
      </c>
    </row>
    <row r="51" ht="16" customHeight="1">
      <c r="B51" s="433" t="n">
        <v>2000</v>
      </c>
      <c r="C51" s="24" t="n">
        <v>3.64</v>
      </c>
      <c r="D51" s="24" t="n">
        <v>9.16</v>
      </c>
      <c r="E51" s="433" t="n">
        <v>8.880000000000001</v>
      </c>
      <c r="F51" s="24" t="n">
        <v>9.050000000000001</v>
      </c>
      <c r="I51" t="inlineStr">
        <is>
          <t>10% del ingreso</t>
        </is>
      </c>
      <c r="J51" s="238">
        <f>+('R.trabajo y honorarios'!H4+'R.trabajo y honorarios'!L4)*10%</f>
        <v/>
      </c>
    </row>
    <row r="52" ht="16" customHeight="1">
      <c r="B52" s="433" t="n">
        <v>2001</v>
      </c>
      <c r="C52" s="24" t="n">
        <v>3.36</v>
      </c>
      <c r="D52" s="24" t="n">
        <v>8.859999999999999</v>
      </c>
      <c r="E52" s="433" t="n">
        <v>8.59</v>
      </c>
      <c r="F52" s="24" t="n">
        <v>8.75</v>
      </c>
      <c r="I52" t="inlineStr">
        <is>
          <t>Limite 12 UVT al mes</t>
        </is>
      </c>
      <c r="J52" s="245">
        <f>'R.trabajo y honorarios'!H74*12*32</f>
        <v/>
      </c>
      <c r="AR52" s="261" t="inlineStr">
        <is>
          <t>1955 y anteriores</t>
        </is>
      </c>
      <c r="AS52" s="262" t="n">
        <v>3330.67</v>
      </c>
      <c r="AT52" s="263" t="n">
        <v>29515.74</v>
      </c>
    </row>
    <row r="53" ht="16" customHeight="1">
      <c r="B53" s="433" t="n">
        <v>2002</v>
      </c>
      <c r="C53" s="24" t="n">
        <v>3.13</v>
      </c>
      <c r="D53" s="24" t="n">
        <v>8.19</v>
      </c>
      <c r="E53" s="433" t="n">
        <v>7.94</v>
      </c>
      <c r="F53" s="24" t="n">
        <v>8.09</v>
      </c>
      <c r="I53" s="47" t="inlineStr">
        <is>
          <t>Total deduciones</t>
        </is>
      </c>
      <c r="J53" s="246">
        <f>+MIN(J51:J52)</f>
        <v/>
      </c>
      <c r="AR53" s="264" t="n">
        <v>1956</v>
      </c>
      <c r="AS53" s="262" t="n">
        <v>3264</v>
      </c>
      <c r="AT53" s="263" t="n">
        <v>28925.8</v>
      </c>
    </row>
    <row r="54" ht="16" customHeight="1">
      <c r="B54" s="433" t="n">
        <v>2003</v>
      </c>
      <c r="C54" s="24" t="n">
        <v>2.93</v>
      </c>
      <c r="D54" s="24" t="n">
        <v>7.35</v>
      </c>
      <c r="E54" s="433" t="n">
        <v>7.12</v>
      </c>
      <c r="F54" s="24" t="n">
        <v>7.26</v>
      </c>
      <c r="I54" t="inlineStr">
        <is>
          <t>Deducción trabajo</t>
        </is>
      </c>
      <c r="J54" s="46">
        <f>IF('R.trabajo y honorarios'!F64="Si",MIN(J49,J52),0)</f>
        <v/>
      </c>
      <c r="AR54" s="264" t="n">
        <v>1957</v>
      </c>
      <c r="AS54" s="262" t="n">
        <v>3022.24</v>
      </c>
      <c r="AT54" s="263" t="n">
        <v>26783.47</v>
      </c>
    </row>
    <row r="55" ht="16" customHeight="1">
      <c r="B55" s="433" t="n">
        <v>2004</v>
      </c>
      <c r="C55" s="24" t="n">
        <v>2.75</v>
      </c>
      <c r="D55" s="24" t="n">
        <v>6.92</v>
      </c>
      <c r="E55" s="433" t="n">
        <v>6.7</v>
      </c>
      <c r="F55" s="24" t="n">
        <v>6.83</v>
      </c>
      <c r="I55" t="inlineStr">
        <is>
          <t>Subtotal</t>
        </is>
      </c>
      <c r="J55" s="46">
        <f>+J53-J54</f>
        <v/>
      </c>
      <c r="AR55" s="264" t="n">
        <v>1958</v>
      </c>
      <c r="AS55" s="262" t="n">
        <v>2549.93</v>
      </c>
      <c r="AT55" s="263" t="n">
        <v>22597.37</v>
      </c>
    </row>
    <row r="56" ht="16" customHeight="1">
      <c r="B56" s="433" t="n">
        <v>2005</v>
      </c>
      <c r="C56" s="24" t="n">
        <v>2.61</v>
      </c>
      <c r="D56" s="24" t="n">
        <v>6.5</v>
      </c>
      <c r="E56" s="433" t="n">
        <v>6.29</v>
      </c>
      <c r="F56" s="24" t="n">
        <v>6.41</v>
      </c>
      <c r="I56" t="inlineStr">
        <is>
          <t>Deducción honorario</t>
        </is>
      </c>
      <c r="J56" s="46">
        <f>+MIN(J50,J52,J55)</f>
        <v/>
      </c>
      <c r="AR56" s="264" t="n">
        <v>1959</v>
      </c>
      <c r="AS56" s="262" t="n">
        <v>2331.22</v>
      </c>
      <c r="AT56" s="263" t="n">
        <v>20659.42</v>
      </c>
    </row>
    <row r="57" ht="16" customHeight="1">
      <c r="B57" s="433" t="n">
        <v>2006</v>
      </c>
      <c r="C57" s="24" t="n">
        <v>2.48</v>
      </c>
      <c r="D57" s="24" t="n">
        <v>6.15</v>
      </c>
      <c r="E57" s="433" t="n">
        <v>5.96</v>
      </c>
      <c r="F57" s="24" t="n">
        <v>6.07</v>
      </c>
      <c r="AR57" s="264" t="n">
        <v>1960</v>
      </c>
      <c r="AS57" s="262" t="n">
        <v>2175.86</v>
      </c>
      <c r="AT57" s="263" t="n">
        <v>19282.42</v>
      </c>
    </row>
    <row r="58" ht="16" customHeight="1">
      <c r="B58" s="433" t="n">
        <v>2007</v>
      </c>
      <c r="C58" s="24" t="n">
        <v>2.37</v>
      </c>
      <c r="D58" s="24" t="n">
        <v>4.67</v>
      </c>
      <c r="E58" s="433" t="n">
        <v>4.53</v>
      </c>
      <c r="F58" s="24" t="n">
        <v>4.62</v>
      </c>
      <c r="I58" s="682" t="inlineStr">
        <is>
          <t>Medicina prepagada</t>
        </is>
      </c>
      <c r="J58" s="967" t="n"/>
      <c r="AR58" s="264" t="n">
        <v>1961</v>
      </c>
      <c r="AS58" s="262" t="n">
        <v>2039.82</v>
      </c>
      <c r="AT58" s="263" t="n">
        <v>17979.33</v>
      </c>
    </row>
    <row r="59" ht="16" customHeight="1">
      <c r="B59" s="433" t="n">
        <v>2008</v>
      </c>
      <c r="C59" s="24" t="n">
        <v>2.24</v>
      </c>
      <c r="D59" s="24" t="n">
        <v>4.16</v>
      </c>
      <c r="E59" s="433" t="n">
        <v>4.03</v>
      </c>
      <c r="F59" s="24" t="n">
        <v>4.11</v>
      </c>
      <c r="I59" s="247" t="inlineStr">
        <is>
          <t>Renta laboral</t>
        </is>
      </c>
      <c r="J59" s="1013">
        <f>'R.trabajo y honorarios'!G65</f>
        <v/>
      </c>
      <c r="AR59" s="264" t="n">
        <v>1962</v>
      </c>
      <c r="AS59" s="262" t="n">
        <v>1919.98</v>
      </c>
      <c r="AT59" s="263" t="n">
        <v>17013.98</v>
      </c>
    </row>
    <row r="60" ht="16" customHeight="1">
      <c r="B60" s="433" t="n">
        <v>2009</v>
      </c>
      <c r="C60" s="24" t="n">
        <v>2.07</v>
      </c>
      <c r="D60" s="24" t="n">
        <v>3.43</v>
      </c>
      <c r="E60" s="433" t="n">
        <v>3.32</v>
      </c>
      <c r="F60" s="24" t="n">
        <v>3.38</v>
      </c>
      <c r="I60" s="238" t="inlineStr">
        <is>
          <t>Saldo</t>
        </is>
      </c>
      <c r="J60" s="6">
        <f>IF(AND(((192*'R.trabajo y honorarios'!H74)-'R.trabajo y honorarios'!G65)&gt;0,'R.trabajo y honorarios'!J65&gt;0),(192*'R.trabajo y honorarios'!H74)-'R.trabajo y honorarios'!G65,0)</f>
        <v/>
      </c>
      <c r="AR60" s="264" t="n">
        <v>1963</v>
      </c>
      <c r="AS60" s="262" t="n">
        <v>1793.28</v>
      </c>
      <c r="AT60" s="263" t="n">
        <v>15892.09</v>
      </c>
    </row>
    <row r="61" ht="16" customHeight="1">
      <c r="B61" s="433" t="n">
        <v>2010</v>
      </c>
      <c r="C61" s="24" t="n">
        <v>2.03</v>
      </c>
      <c r="D61" s="24" t="n">
        <v>3.12</v>
      </c>
      <c r="E61" s="433" t="n">
        <v>3.02</v>
      </c>
      <c r="F61" s="24" t="n">
        <v>3.08</v>
      </c>
      <c r="I61" t="inlineStr">
        <is>
          <t>Casilla</t>
        </is>
      </c>
      <c r="J61" s="46">
        <f>'R.trabajo y honorarios'!J65</f>
        <v/>
      </c>
      <c r="AR61" s="264" t="n">
        <v>1964</v>
      </c>
      <c r="AS61" s="262" t="n">
        <v>1371.23</v>
      </c>
      <c r="AT61" s="263" t="n">
        <v>12152.43</v>
      </c>
    </row>
    <row r="62" ht="16" customHeight="1">
      <c r="B62" s="433" t="n">
        <v>2011</v>
      </c>
      <c r="C62" s="24" t="n">
        <v>1.97</v>
      </c>
      <c r="D62" s="24" t="n">
        <v>2.86</v>
      </c>
      <c r="E62" s="433" t="n">
        <v>2.77</v>
      </c>
      <c r="F62" s="24" t="n">
        <v>2.82</v>
      </c>
      <c r="I62" s="238" t="inlineStr">
        <is>
          <t>Menor</t>
        </is>
      </c>
      <c r="J62" s="246">
        <f>+MIN(J59:J61)</f>
        <v/>
      </c>
      <c r="AR62" s="264" t="n">
        <v>1965</v>
      </c>
      <c r="AS62" s="262" t="n">
        <v>1255.34</v>
      </c>
      <c r="AT62" s="263" t="n">
        <v>11124.75</v>
      </c>
    </row>
    <row r="63" ht="16" customHeight="1">
      <c r="B63" s="433" t="n">
        <v>2012</v>
      </c>
      <c r="C63" s="24" t="n">
        <v>1.9</v>
      </c>
      <c r="D63" s="24" t="n">
        <v>2.39</v>
      </c>
      <c r="E63" s="433" t="n">
        <v>2.32</v>
      </c>
      <c r="F63" s="24" t="n">
        <v>2.36</v>
      </c>
      <c r="AR63" s="264" t="n">
        <v>1966</v>
      </c>
      <c r="AS63" s="262" t="n">
        <v>1095.2</v>
      </c>
      <c r="AT63" s="263" t="n">
        <v>9705.709999999999</v>
      </c>
    </row>
    <row r="64" ht="16" customHeight="1">
      <c r="B64" s="433" t="n">
        <v>2013</v>
      </c>
      <c r="C64" s="24" t="n">
        <v>1.85</v>
      </c>
      <c r="D64" s="24" t="n">
        <v>2.05</v>
      </c>
      <c r="E64" s="433" t="n">
        <v>1.99</v>
      </c>
      <c r="F64" s="24" t="n">
        <v>2.03</v>
      </c>
      <c r="AR64" s="264" t="n">
        <v>1967</v>
      </c>
      <c r="AS64" s="1014" t="n">
        <v>965.6</v>
      </c>
      <c r="AT64" s="263" t="n">
        <v>8557.719999999999</v>
      </c>
    </row>
    <row r="65" ht="16" customHeight="1">
      <c r="B65" s="433" t="n">
        <v>2014</v>
      </c>
      <c r="C65" s="24" t="n">
        <v>1.82</v>
      </c>
      <c r="D65" s="24" t="n">
        <v>1.81</v>
      </c>
      <c r="E65" s="433" t="n">
        <v>1.76</v>
      </c>
      <c r="F65" s="24" t="n">
        <v>1.79</v>
      </c>
      <c r="I65" s="675" t="inlineStr">
        <is>
          <t>APORTES VOLUNTARIOS</t>
        </is>
      </c>
      <c r="J65" s="967" t="n"/>
      <c r="AR65" s="264" t="n">
        <v>1968</v>
      </c>
      <c r="AS65" s="266" t="n">
        <v>896.64</v>
      </c>
      <c r="AT65" s="263" t="n">
        <v>7946.04</v>
      </c>
    </row>
    <row r="66" ht="16" customHeight="1">
      <c r="B66" s="433" t="n">
        <v>2015</v>
      </c>
      <c r="C66" s="24" t="n">
        <v>1.75</v>
      </c>
      <c r="D66" s="24" t="n">
        <v>1.68</v>
      </c>
      <c r="E66" s="433" t="n">
        <v>1.63</v>
      </c>
      <c r="F66" s="24" t="n">
        <v>1.66</v>
      </c>
      <c r="I66" t="inlineStr">
        <is>
          <t>Renta de trabajo</t>
        </is>
      </c>
      <c r="J66" s="1015">
        <f>'R.trabajo y honorarios'!H4/12</f>
        <v/>
      </c>
      <c r="K66" s="985" t="n"/>
      <c r="AR66" s="264" t="n">
        <v>1969</v>
      </c>
      <c r="AS66" s="266" t="n">
        <v>841.1799999999999</v>
      </c>
      <c r="AT66" s="263" t="n">
        <v>7454.67</v>
      </c>
    </row>
    <row r="67" ht="16" customHeight="1">
      <c r="B67" s="433" t="n">
        <v>2016</v>
      </c>
      <c r="C67" s="24" t="n">
        <v>1.64</v>
      </c>
      <c r="D67" s="24" t="n">
        <v>1.6</v>
      </c>
      <c r="E67" s="433" t="n">
        <v>1.55</v>
      </c>
      <c r="F67" s="24" t="n">
        <v>1.58</v>
      </c>
      <c r="I67" t="inlineStr">
        <is>
          <t>Renta de honorarios</t>
        </is>
      </c>
      <c r="J67" s="1015">
        <f>'R.trabajo y honorarios'!L4/12</f>
        <v/>
      </c>
      <c r="AR67" s="264" t="n">
        <v>1970</v>
      </c>
      <c r="AS67" s="266" t="n">
        <v>773.47</v>
      </c>
      <c r="AT67" s="263" t="n">
        <v>6854.59</v>
      </c>
    </row>
    <row r="68" ht="16" customHeight="1">
      <c r="B68" s="433" t="n">
        <v>2017</v>
      </c>
      <c r="C68" s="24" t="n">
        <v>1.56</v>
      </c>
      <c r="D68" s="24" t="n">
        <v>1.52</v>
      </c>
      <c r="E68" s="433" t="n">
        <v>1.48</v>
      </c>
      <c r="F68" s="24" t="n">
        <v>1.5</v>
      </c>
      <c r="I68" t="inlineStr">
        <is>
          <t>LIMITE INGRESOS</t>
        </is>
      </c>
      <c r="J68" s="238">
        <f>+J66+J67</f>
        <v/>
      </c>
      <c r="AR68" s="264" t="n">
        <v>1971</v>
      </c>
      <c r="AS68" s="267" t="inlineStr">
        <is>
          <t>722, 17</t>
        </is>
      </c>
      <c r="AT68" s="263" t="n">
        <v>6399.45</v>
      </c>
    </row>
    <row r="69" ht="16" customHeight="1">
      <c r="B69" s="433" t="n">
        <v>2018</v>
      </c>
      <c r="C69" s="24" t="n">
        <v>1.5</v>
      </c>
      <c r="D69" s="24" t="n">
        <v>1.41</v>
      </c>
      <c r="E69" s="433" t="n">
        <v>1.36</v>
      </c>
      <c r="F69" s="24" t="n">
        <v>1.39</v>
      </c>
      <c r="I69" t="inlineStr">
        <is>
          <t>Limite 2500 UVT</t>
        </is>
      </c>
      <c r="J69" s="245">
        <f>'R.trabajo y honorarios'!H74*2500</f>
        <v/>
      </c>
      <c r="AR69" s="264" t="n">
        <v>1972</v>
      </c>
      <c r="AS69" s="266" t="n">
        <v>639.92</v>
      </c>
      <c r="AT69" s="263" t="n">
        <v>5671.81</v>
      </c>
    </row>
    <row r="70" ht="16" customHeight="1">
      <c r="B70" s="433" t="n">
        <v>2019</v>
      </c>
      <c r="C70" s="24" t="n">
        <v>1.45</v>
      </c>
      <c r="D70" s="24" t="n">
        <v>1.3</v>
      </c>
      <c r="E70" s="433" t="n">
        <v>1.26</v>
      </c>
      <c r="F70" s="24" t="n">
        <v>1.28</v>
      </c>
      <c r="I70" s="47" t="inlineStr">
        <is>
          <t>Total deduciones</t>
        </is>
      </c>
      <c r="J70" s="246">
        <f>+MIN(J68:J69)</f>
        <v/>
      </c>
      <c r="AR70" s="264" t="n">
        <v>1973</v>
      </c>
      <c r="AS70" s="266" t="n">
        <v>562.66</v>
      </c>
      <c r="AT70" s="263" t="n">
        <v>4987.66</v>
      </c>
    </row>
    <row r="71" ht="16" customHeight="1">
      <c r="B71" s="433" t="n">
        <v>2020</v>
      </c>
      <c r="C71" s="24" t="n">
        <v>1.4</v>
      </c>
      <c r="D71" s="24" t="n">
        <v>1.22</v>
      </c>
      <c r="E71" s="433" t="n">
        <v>1.18</v>
      </c>
      <c r="F71" s="24" t="n">
        <v>1.21</v>
      </c>
      <c r="I71" s="46">
        <f>'R.trabajo y honorarios'!C67</f>
        <v/>
      </c>
      <c r="J71" s="46">
        <f>'R.trabajo y honorarios'!F67</f>
        <v/>
      </c>
      <c r="AR71" s="264" t="n">
        <v>1974</v>
      </c>
      <c r="AS71" s="266" t="n">
        <v>459.64</v>
      </c>
      <c r="AT71" s="263" t="n">
        <v>4074.48</v>
      </c>
    </row>
    <row r="72" ht="16" customHeight="1">
      <c r="B72" s="433" t="n">
        <v>2021</v>
      </c>
      <c r="C72" s="24" t="n">
        <v>1.38</v>
      </c>
      <c r="D72" s="24" t="n">
        <v>1.16</v>
      </c>
      <c r="E72" s="433" t="n">
        <v>1.12</v>
      </c>
      <c r="F72" s="24" t="n">
        <v>1.14</v>
      </c>
      <c r="I72" t="inlineStr">
        <is>
          <t>Deducción trabajo</t>
        </is>
      </c>
      <c r="J72" s="46">
        <f>MIN(J66,J69,J71)</f>
        <v/>
      </c>
      <c r="AR72" s="264" t="n">
        <v>1975</v>
      </c>
      <c r="AS72" s="266" t="n">
        <v>367.63</v>
      </c>
      <c r="AT72" s="263" t="n">
        <v>3256.98</v>
      </c>
    </row>
    <row r="73" ht="16" customHeight="1">
      <c r="B73" s="433" t="n">
        <v>2022</v>
      </c>
      <c r="C73" s="24" t="n">
        <v>1.3</v>
      </c>
      <c r="D73" s="24" t="n">
        <v>1.12</v>
      </c>
      <c r="E73" s="433" t="n">
        <v>1.09</v>
      </c>
      <c r="F73" s="24" t="n">
        <v>1.11</v>
      </c>
      <c r="I73" t="inlineStr">
        <is>
          <t>Subtotal</t>
        </is>
      </c>
      <c r="J73" s="46">
        <f>+J70-J72</f>
        <v/>
      </c>
      <c r="AR73" s="264" t="n">
        <v>1976</v>
      </c>
      <c r="AS73" s="266" t="n">
        <v>312.59</v>
      </c>
      <c r="AT73" s="263" t="n">
        <v>2769.95</v>
      </c>
    </row>
    <row r="74" ht="16" customHeight="1">
      <c r="B74" s="433" t="n">
        <v>2023</v>
      </c>
      <c r="C74" s="24" t="n">
        <v>1.15</v>
      </c>
      <c r="D74" s="24" t="n">
        <v>1.09</v>
      </c>
      <c r="E74" s="433" t="n">
        <v>1.06</v>
      </c>
      <c r="F74" s="24" t="n">
        <v>1.08</v>
      </c>
      <c r="I74" s="46">
        <f>I71</f>
        <v/>
      </c>
      <c r="J74" s="46">
        <f>'R.trabajo y honorarios'!J67</f>
        <v/>
      </c>
      <c r="AR74" s="264" t="n">
        <v>1977</v>
      </c>
      <c r="AS74" s="266" t="n">
        <v>249.24</v>
      </c>
      <c r="AT74" s="263" t="n">
        <v>2207.56</v>
      </c>
    </row>
    <row r="75" ht="16" customHeight="1">
      <c r="B75" s="433" t="n">
        <v>2024</v>
      </c>
      <c r="C75" s="436" t="n">
        <v>1.05</v>
      </c>
      <c r="D75" s="436" t="n">
        <v>1.05</v>
      </c>
      <c r="E75" s="437" t="n">
        <v>1.03</v>
      </c>
      <c r="F75" s="436" t="n">
        <v>1.05</v>
      </c>
      <c r="I75" t="inlineStr">
        <is>
          <t>Deducción honorario</t>
        </is>
      </c>
      <c r="J75" s="46">
        <f>+MIN(J67,J69,J73,J74)</f>
        <v/>
      </c>
      <c r="AR75" s="264" t="n">
        <v>1978</v>
      </c>
      <c r="AS75" s="266" t="n">
        <v>195.45</v>
      </c>
      <c r="AT75" s="263" t="n">
        <v>1732.13</v>
      </c>
    </row>
    <row r="76" ht="16" customHeight="1" thickBot="1">
      <c r="AQ76" s="264" t="n">
        <v>1979</v>
      </c>
      <c r="AR76" s="266" t="n">
        <v>163.25</v>
      </c>
      <c r="AS76" s="263" t="n">
        <v>1446.58</v>
      </c>
    </row>
    <row r="77" ht="16" customHeight="1" thickBot="1">
      <c r="B77" s="160" t="inlineStr">
        <is>
          <t>Fecha ganancia ocasional</t>
        </is>
      </c>
      <c r="C77" s="1016" t="n">
        <v>43465</v>
      </c>
      <c r="D77" s="1017" t="n"/>
      <c r="AQ77" s="264" t="n">
        <v>1980</v>
      </c>
      <c r="AR77" s="266" t="n">
        <v>128.98</v>
      </c>
      <c r="AS77" s="263" t="n">
        <v>1143.64</v>
      </c>
    </row>
    <row r="78" ht="16" customHeight="1" thickBot="1">
      <c r="AQ78" s="264" t="n">
        <v>1981</v>
      </c>
      <c r="AR78" s="266" t="n">
        <v>103.64</v>
      </c>
      <c r="AS78" s="268" t="n">
        <v>917.52</v>
      </c>
    </row>
    <row r="79">
      <c r="B79" s="162" t="inlineStr">
        <is>
          <t>Rentas exentas henrencia</t>
        </is>
      </c>
      <c r="C79" s="162" t="inlineStr">
        <is>
          <t>Rentas exentas Porción conyugal</t>
        </is>
      </c>
      <c r="D79" s="162" t="n"/>
      <c r="E79" s="162" t="inlineStr">
        <is>
          <t>Rentas exentas Legado</t>
        </is>
      </c>
      <c r="AQ79" s="264" t="n">
        <v>1982</v>
      </c>
      <c r="AR79" s="266" t="n">
        <v>82.45999999999999</v>
      </c>
      <c r="AS79" s="268" t="n">
        <v>730.54</v>
      </c>
    </row>
    <row r="80">
      <c r="B80" s="163">
        <f>#REF!-#REF!-#REF!</f>
        <v/>
      </c>
      <c r="C80" s="163">
        <f>#REF!-#REF!-#REF!</f>
        <v/>
      </c>
      <c r="D80" s="163" t="n"/>
      <c r="E80" s="163">
        <f>#REF!-#REF!-#REF!</f>
        <v/>
      </c>
      <c r="AQ80" s="264" t="n">
        <v>1983</v>
      </c>
      <c r="AR80" s="266" t="n">
        <v>66.26000000000001</v>
      </c>
      <c r="AS80" s="268" t="n">
        <v>587.04</v>
      </c>
    </row>
    <row r="81">
      <c r="B81" s="1018">
        <f>#REF!</f>
        <v/>
      </c>
      <c r="AQ81" s="264" t="n">
        <v>1984</v>
      </c>
      <c r="AR81" s="266" t="n">
        <v>56.91</v>
      </c>
      <c r="AS81" s="268" t="n">
        <v>504.42</v>
      </c>
    </row>
    <row r="82" ht="16" customHeight="1" thickBot="1">
      <c r="B82" s="165">
        <f>MIN(B80,B81)</f>
        <v/>
      </c>
      <c r="AQ82" s="264" t="n">
        <v>1985</v>
      </c>
      <c r="AR82" s="266" t="n">
        <v>48.19</v>
      </c>
      <c r="AS82" s="268" t="n">
        <v>437.74</v>
      </c>
    </row>
    <row r="83">
      <c r="AQ83" s="264" t="n">
        <v>1986</v>
      </c>
      <c r="AR83" s="266" t="n">
        <v>39.46</v>
      </c>
      <c r="AS83" s="268" t="n">
        <v>362.37</v>
      </c>
    </row>
    <row r="84">
      <c r="AQ84" s="264" t="n">
        <v>1987</v>
      </c>
      <c r="AR84" s="266" t="n">
        <v>32.61</v>
      </c>
      <c r="AS84" s="268" t="n">
        <v>307.29</v>
      </c>
    </row>
    <row r="85">
      <c r="B85" s="166">
        <f>15000*#REF!</f>
        <v/>
      </c>
      <c r="C85" s="47" t="inlineStr">
        <is>
          <t>Limite renta exenta casa habitación (Validar si es un limite?¿)</t>
        </is>
      </c>
      <c r="D85" s="47" t="n"/>
      <c r="E85" s="47" t="n"/>
      <c r="AQ85" s="264" t="n">
        <v>1988</v>
      </c>
      <c r="AR85" s="266" t="n">
        <v>26.59</v>
      </c>
      <c r="AS85" s="268" t="n">
        <v>231.92</v>
      </c>
    </row>
    <row r="86">
      <c r="AQ86" s="264" t="n">
        <v>1989</v>
      </c>
      <c r="AR86" s="266" t="n">
        <v>20.83</v>
      </c>
      <c r="AS86" s="268" t="n">
        <v>144.59</v>
      </c>
    </row>
    <row r="87">
      <c r="AQ87" s="264" t="n">
        <v>1990</v>
      </c>
      <c r="AR87" s="266" t="n">
        <v>16.52</v>
      </c>
      <c r="AS87" s="268" t="n">
        <v>99.98999999999999</v>
      </c>
    </row>
    <row r="88">
      <c r="AQ88" s="264" t="n">
        <v>1991</v>
      </c>
      <c r="AR88" s="266" t="n">
        <v>12.53</v>
      </c>
      <c r="AS88" s="268" t="n">
        <v>69.68000000000001</v>
      </c>
    </row>
    <row r="89">
      <c r="AQ89" s="264" t="n">
        <v>1992</v>
      </c>
      <c r="AR89" s="266" t="n">
        <v>9.869999999999999</v>
      </c>
      <c r="AS89" s="268" t="n">
        <v>52.19</v>
      </c>
    </row>
    <row r="90">
      <c r="AQ90" s="264" t="n">
        <v>1993</v>
      </c>
      <c r="AR90" s="266" t="n">
        <v>7.92</v>
      </c>
      <c r="AS90" s="269" t="inlineStr">
        <is>
          <t>37, 10</t>
        </is>
      </c>
    </row>
    <row r="91">
      <c r="AQ91" s="264" t="n">
        <v>1994</v>
      </c>
      <c r="AR91" s="266" t="n">
        <v>6.46</v>
      </c>
      <c r="AS91" s="268" t="n">
        <v>26.98</v>
      </c>
    </row>
    <row r="92">
      <c r="AQ92" s="264" t="n">
        <v>1995</v>
      </c>
      <c r="AR92" s="266" t="n">
        <v>5.29</v>
      </c>
      <c r="AS92" s="268" t="n">
        <v>19.22</v>
      </c>
    </row>
    <row r="93">
      <c r="AQ93" s="264" t="n">
        <v>1996</v>
      </c>
      <c r="AR93" s="266" t="n">
        <v>4.48</v>
      </c>
      <c r="AS93" s="268" t="n">
        <v>14.21</v>
      </c>
    </row>
    <row r="94">
      <c r="AQ94" s="264" t="n">
        <v>1997</v>
      </c>
      <c r="AR94" s="266" t="n">
        <v>3.87</v>
      </c>
      <c r="AS94" s="268" t="n">
        <v>11.79</v>
      </c>
    </row>
    <row r="95">
      <c r="AQ95" s="264" t="n">
        <v>1998</v>
      </c>
      <c r="AR95" s="266" t="n">
        <v>3.29</v>
      </c>
      <c r="AS95" s="268" t="n">
        <v>9.06</v>
      </c>
    </row>
    <row r="96">
      <c r="AQ96" s="264" t="n">
        <v>1999</v>
      </c>
      <c r="AR96" s="266" t="n">
        <v>2.84</v>
      </c>
      <c r="AS96" s="268" t="n">
        <v>7.55</v>
      </c>
    </row>
    <row r="97">
      <c r="AQ97" s="264" t="n">
        <v>2000</v>
      </c>
      <c r="AR97" s="1014" t="n">
        <v>2.6</v>
      </c>
      <c r="AS97" s="1019" t="n">
        <v>7.5</v>
      </c>
    </row>
    <row r="98">
      <c r="AQ98" s="264" t="n">
        <v>2001</v>
      </c>
      <c r="AR98" s="1014" t="n">
        <v>2.4</v>
      </c>
      <c r="AS98" s="268" t="n">
        <v>7.25</v>
      </c>
    </row>
    <row r="99">
      <c r="AQ99" s="264" t="n">
        <v>2002</v>
      </c>
      <c r="AR99" s="266" t="n">
        <v>2.23</v>
      </c>
      <c r="AS99" s="1019" t="n">
        <v>6.7</v>
      </c>
    </row>
    <row r="100">
      <c r="AQ100" s="264" t="n">
        <v>2003</v>
      </c>
      <c r="AR100" s="266" t="n">
        <v>2.09</v>
      </c>
      <c r="AS100" s="268" t="n">
        <v>6.01</v>
      </c>
    </row>
    <row r="101">
      <c r="AQ101" s="264" t="n">
        <v>2004</v>
      </c>
      <c r="AR101" s="266" t="n">
        <v>1.97</v>
      </c>
      <c r="AS101" s="268" t="n">
        <v>5.66</v>
      </c>
    </row>
    <row r="102">
      <c r="AQ102" s="264" t="n">
        <v>2005</v>
      </c>
      <c r="AR102" s="266" t="n">
        <v>1.86</v>
      </c>
      <c r="AS102" s="268" t="n">
        <v>5.31</v>
      </c>
    </row>
    <row r="103">
      <c r="AQ103" s="264" t="n">
        <v>2006</v>
      </c>
      <c r="AR103" s="266" t="n">
        <v>1.77</v>
      </c>
      <c r="AS103" s="268" t="n">
        <v>5.03</v>
      </c>
    </row>
    <row r="104">
      <c r="AQ104" s="264" t="n">
        <v>2007</v>
      </c>
      <c r="AR104" s="266" t="n">
        <v>1.69</v>
      </c>
      <c r="AS104" s="268" t="n">
        <v>3.82</v>
      </c>
    </row>
    <row r="105">
      <c r="AQ105" s="264" t="n">
        <v>2008</v>
      </c>
      <c r="AR105" s="1014" t="n">
        <v>1.6</v>
      </c>
      <c r="AS105" s="1019" t="n">
        <v>3.4</v>
      </c>
    </row>
    <row r="106">
      <c r="AQ106" s="264" t="n">
        <v>2009</v>
      </c>
      <c r="AR106" s="266" t="n">
        <v>1.48</v>
      </c>
      <c r="AS106" s="1019" t="n">
        <v>2.8</v>
      </c>
    </row>
    <row r="107">
      <c r="AQ107" s="264" t="n">
        <v>2010</v>
      </c>
      <c r="AR107" s="266" t="n">
        <v>1.45</v>
      </c>
      <c r="AS107" s="268" t="n">
        <v>2.55</v>
      </c>
    </row>
    <row r="108">
      <c r="AQ108" s="264" t="n">
        <v>2011</v>
      </c>
      <c r="AR108" s="266" t="n">
        <v>1.41</v>
      </c>
      <c r="AS108" s="268" t="n">
        <v>2.34</v>
      </c>
    </row>
    <row r="109">
      <c r="AQ109" s="264" t="n">
        <v>2012</v>
      </c>
      <c r="AR109" s="266" t="n">
        <v>1.36</v>
      </c>
      <c r="AS109" s="268" t="n">
        <v>1.95</v>
      </c>
    </row>
    <row r="110">
      <c r="AQ110" s="264" t="n">
        <v>2013</v>
      </c>
      <c r="AR110" s="266" t="n">
        <v>1.32</v>
      </c>
      <c r="AS110" s="268" t="n">
        <v>1.68</v>
      </c>
    </row>
    <row r="111">
      <c r="AQ111" s="264" t="n">
        <v>2014</v>
      </c>
      <c r="AR111" s="1014" t="n">
        <v>1.3</v>
      </c>
      <c r="AS111" s="268" t="n">
        <v>1.48</v>
      </c>
    </row>
    <row r="112">
      <c r="AQ112" s="264" t="n">
        <v>2015</v>
      </c>
      <c r="AR112" s="266" t="n">
        <v>1.25</v>
      </c>
      <c r="AS112" s="268" t="n">
        <v>1.38</v>
      </c>
    </row>
    <row r="113">
      <c r="AQ113" s="264" t="n">
        <v>2016</v>
      </c>
      <c r="AR113" s="266" t="n">
        <v>1.17</v>
      </c>
      <c r="AS113" s="268" t="n">
        <v>1.31</v>
      </c>
    </row>
    <row r="114">
      <c r="AQ114" s="264" t="n">
        <v>2017</v>
      </c>
      <c r="AR114" s="266" t="n">
        <v>1.11</v>
      </c>
      <c r="AS114" s="268" t="n">
        <v>1.25</v>
      </c>
    </row>
    <row r="115">
      <c r="AQ115" s="264" t="n">
        <v>2018</v>
      </c>
      <c r="AR115" s="266" t="n">
        <v>1.07</v>
      </c>
      <c r="AS115" s="268" t="n">
        <v>1.15</v>
      </c>
    </row>
    <row r="116" ht="16" customHeight="1" thickBot="1">
      <c r="AQ116" s="271" t="n">
        <v>2019</v>
      </c>
      <c r="AR116" s="272" t="n">
        <v>1.04</v>
      </c>
      <c r="AS116" s="273" t="n">
        <v>1.06</v>
      </c>
    </row>
  </sheetData>
  <mergeCells count="18">
    <mergeCell ref="I65:J65"/>
    <mergeCell ref="H6:P6"/>
    <mergeCell ref="U19:U20"/>
    <mergeCell ref="AA21:AB21"/>
    <mergeCell ref="I34:J34"/>
    <mergeCell ref="R26:S26"/>
    <mergeCell ref="AC21:AD21"/>
    <mergeCell ref="AH21:AH22"/>
    <mergeCell ref="AF21:AF22"/>
    <mergeCell ref="R20:S20"/>
    <mergeCell ref="I42:J42"/>
    <mergeCell ref="AE21:AE22"/>
    <mergeCell ref="AG21:AG22"/>
    <mergeCell ref="R13:S13"/>
    <mergeCell ref="I48:J48"/>
    <mergeCell ref="I58:J58"/>
    <mergeCell ref="R5:S5"/>
    <mergeCell ref="U10:X10"/>
  </mergeCells>
  <pageMargins left="0.7" right="0.7" top="0.75" bottom="0.75" header="0.3" footer="0.3"/>
</worksheet>
</file>

<file path=xl/worksheets/sheet10.xml><?xml version="1.0" encoding="utf-8"?>
<worksheet xmlns="http://schemas.openxmlformats.org/spreadsheetml/2006/main">
  <sheetPr codeName="Hoja4">
    <tabColor rgb="FF0070C0"/>
    <outlinePr summaryBelow="1" summaryRight="1"/>
    <pageSetUpPr/>
  </sheetPr>
  <dimension ref="A1:D41"/>
  <sheetViews>
    <sheetView showGridLines="0" zoomScale="200" zoomScaleNormal="200" zoomScaleSheetLayoutView="219" workbookViewId="0">
      <pane xSplit="1" ySplit="1" topLeftCell="B21" activePane="bottomRight" state="frozen"/>
      <selection pane="topRight" activeCell="B1" sqref="B1"/>
      <selection pane="bottomLeft" activeCell="A2" sqref="A2"/>
      <selection pane="bottomRight" activeCell="B2" sqref="B2"/>
    </sheetView>
  </sheetViews>
  <sheetFormatPr baseColWidth="10" defaultColWidth="0" defaultRowHeight="16" zeroHeight="1"/>
  <cols>
    <col width="3.5" bestFit="1" customWidth="1" min="1" max="1"/>
    <col width="48" customWidth="1" min="2" max="2"/>
    <col width="15" customWidth="1" min="3" max="3"/>
    <col width="14" bestFit="1" customWidth="1" style="16" min="4" max="4"/>
    <col width="10.83203125" customWidth="1" min="5" max="6"/>
    <col hidden="1" width="10.83203125" customWidth="1" min="7" max="16384"/>
  </cols>
  <sheetData>
    <row r="1">
      <c r="A1" s="1020" t="inlineStr">
        <is>
          <t>DEUDAS</t>
        </is>
      </c>
      <c r="B1" s="964" t="n"/>
      <c r="C1" s="964" t="n"/>
      <c r="D1" s="965" t="n"/>
    </row>
    <row r="2" ht="17" customHeight="1">
      <c r="A2" s="693" t="inlineStr">
        <is>
          <t>Renglón 30</t>
        </is>
      </c>
      <c r="B2" s="224" t="n"/>
      <c r="C2" s="225" t="n"/>
      <c r="D2" s="695">
        <f>ROUND(SUM(C2:C41),-3)</f>
        <v/>
      </c>
    </row>
    <row r="3" ht="15.75" customHeight="1">
      <c r="A3" s="962" t="n"/>
      <c r="B3" s="224" t="n"/>
      <c r="C3" s="225" t="n"/>
      <c r="D3" s="237" t="n"/>
    </row>
    <row r="4" ht="15.75" customHeight="1">
      <c r="A4" s="962" t="n"/>
      <c r="B4" s="224" t="n"/>
      <c r="C4" s="225" t="n"/>
      <c r="D4" s="237" t="n"/>
    </row>
    <row r="5" ht="15.75" customHeight="1">
      <c r="A5" s="962" t="n"/>
      <c r="B5" s="224" t="n"/>
      <c r="C5" s="225" t="n"/>
      <c r="D5" s="237" t="n"/>
    </row>
    <row r="6" ht="15.75" customHeight="1">
      <c r="A6" s="962" t="n"/>
      <c r="B6" s="224" t="n"/>
      <c r="C6" s="225" t="n"/>
      <c r="D6" s="237" t="n"/>
    </row>
    <row r="7" ht="15.75" customHeight="1">
      <c r="A7" s="962" t="n"/>
      <c r="B7" s="224" t="n"/>
      <c r="C7" s="225" t="n"/>
      <c r="D7" s="237" t="n"/>
    </row>
    <row r="8" ht="15.75" customHeight="1">
      <c r="A8" s="962" t="n"/>
      <c r="B8" s="224" t="n"/>
      <c r="C8" s="225" t="n"/>
      <c r="D8" s="237" t="n"/>
    </row>
    <row r="9" ht="15.75" customHeight="1">
      <c r="A9" s="962" t="n"/>
      <c r="B9" s="224" t="n"/>
      <c r="C9" s="225" t="n"/>
      <c r="D9" s="237" t="n"/>
    </row>
    <row r="10" ht="15.75" customHeight="1">
      <c r="A10" s="962" t="n"/>
      <c r="B10" s="224" t="n"/>
      <c r="C10" s="225" t="n"/>
      <c r="D10" s="237" t="n"/>
    </row>
    <row r="11" ht="15.75" customHeight="1">
      <c r="A11" s="962" t="n"/>
      <c r="B11" s="224" t="n"/>
      <c r="C11" s="225" t="n"/>
      <c r="D11" s="237" t="n"/>
    </row>
    <row r="12" ht="15.75" customHeight="1">
      <c r="A12" s="962" t="n"/>
      <c r="B12" s="224" t="n"/>
      <c r="C12" s="225" t="n"/>
      <c r="D12" s="237" t="n"/>
    </row>
    <row r="13" ht="15.75" customHeight="1">
      <c r="A13" s="962" t="n"/>
      <c r="B13" s="224" t="n"/>
      <c r="C13" s="199" t="n"/>
      <c r="D13" s="237" t="n"/>
    </row>
    <row r="14" ht="15.75" customHeight="1">
      <c r="A14" s="962" t="n"/>
      <c r="B14" s="224" t="n"/>
      <c r="C14" s="199" t="n"/>
      <c r="D14" s="237" t="n"/>
    </row>
    <row r="15" ht="15.75" customHeight="1">
      <c r="A15" s="962" t="n"/>
      <c r="B15" s="224" t="n"/>
      <c r="C15" s="199" t="n"/>
      <c r="D15" s="237" t="n"/>
    </row>
    <row r="16" ht="15.75" customHeight="1">
      <c r="A16" s="962" t="n"/>
      <c r="B16" s="224" t="n"/>
      <c r="C16" s="199" t="n"/>
      <c r="D16" s="237" t="n"/>
    </row>
    <row r="17" ht="15.75" customHeight="1">
      <c r="A17" s="962" t="n"/>
      <c r="B17" s="224" t="n"/>
      <c r="C17" s="199" t="n"/>
      <c r="D17" s="237" t="n"/>
    </row>
    <row r="18" ht="15.75" customHeight="1">
      <c r="A18" s="962" t="n"/>
      <c r="B18" s="224" t="n"/>
      <c r="C18" s="199" t="n"/>
      <c r="D18" s="237" t="n"/>
    </row>
    <row r="19" ht="15.75" customHeight="1">
      <c r="A19" s="962" t="n"/>
      <c r="B19" s="224" t="n"/>
      <c r="C19" s="199" t="n"/>
      <c r="D19" s="237" t="n"/>
    </row>
    <row r="20" ht="15.75" customHeight="1">
      <c r="A20" s="962" t="n"/>
      <c r="B20" s="224" t="n"/>
      <c r="C20" s="199" t="n"/>
      <c r="D20" s="237" t="n"/>
    </row>
    <row r="21" ht="15.75" customHeight="1">
      <c r="A21" s="962" t="n"/>
      <c r="B21" s="224" t="n"/>
      <c r="C21" s="199" t="n"/>
      <c r="D21" s="237" t="n"/>
    </row>
    <row r="22" ht="15.75" customHeight="1">
      <c r="A22" s="962" t="n"/>
      <c r="B22" s="224" t="n"/>
      <c r="C22" s="199" t="n"/>
      <c r="D22" s="237" t="n"/>
    </row>
    <row r="23" ht="15.75" customHeight="1">
      <c r="A23" s="962" t="n"/>
      <c r="B23" s="224" t="n"/>
      <c r="C23" s="199" t="n"/>
      <c r="D23" s="237" t="n"/>
    </row>
    <row r="24" ht="15.75" customHeight="1">
      <c r="A24" s="962" t="n"/>
      <c r="B24" s="224" t="n"/>
      <c r="C24" s="199" t="n"/>
      <c r="D24" s="237" t="n"/>
    </row>
    <row r="25" ht="15.75" customHeight="1">
      <c r="A25" s="962" t="n"/>
      <c r="B25" s="224" t="n"/>
      <c r="C25" s="218" t="n"/>
      <c r="D25" s="237" t="n"/>
    </row>
    <row r="26" ht="15.75" customHeight="1">
      <c r="A26" s="962" t="n"/>
      <c r="B26" s="224" t="n"/>
      <c r="C26" s="218" t="n"/>
      <c r="D26" s="237" t="n"/>
    </row>
    <row r="27" ht="15.75" customHeight="1">
      <c r="A27" s="962" t="n"/>
      <c r="B27" s="224" t="n"/>
      <c r="C27" s="218" t="n"/>
      <c r="D27" s="237" t="n"/>
    </row>
    <row r="28" ht="15.75" customHeight="1">
      <c r="A28" s="962" t="n"/>
      <c r="B28" s="224" t="n"/>
      <c r="C28" s="218" t="n"/>
      <c r="D28" s="237" t="n"/>
    </row>
    <row r="29">
      <c r="A29" s="962" t="n"/>
      <c r="B29" s="224" t="n"/>
      <c r="C29" s="218" t="n"/>
      <c r="D29" s="237" t="n"/>
    </row>
    <row r="30">
      <c r="A30" s="962" t="n"/>
      <c r="B30" s="224" t="n"/>
      <c r="C30" s="218" t="n"/>
      <c r="D30" s="237" t="n"/>
    </row>
    <row r="31">
      <c r="A31" s="962" t="n"/>
      <c r="B31" s="224" t="n"/>
      <c r="C31" s="218" t="n"/>
      <c r="D31" s="237" t="n"/>
    </row>
    <row r="32">
      <c r="A32" s="962" t="n"/>
      <c r="B32" s="224" t="n"/>
      <c r="C32" s="218" t="n"/>
      <c r="D32" s="237" t="n"/>
    </row>
    <row r="33">
      <c r="A33" s="962" t="n"/>
      <c r="B33" s="224" t="n"/>
      <c r="C33" s="218" t="n"/>
      <c r="D33" s="237" t="n"/>
    </row>
    <row r="34">
      <c r="A34" s="962" t="n"/>
      <c r="B34" s="224" t="n"/>
      <c r="C34" s="218" t="n"/>
      <c r="D34" s="237" t="n"/>
    </row>
    <row r="35">
      <c r="A35" s="962" t="n"/>
      <c r="B35" s="224" t="n"/>
      <c r="C35" s="218" t="n"/>
      <c r="D35" s="237" t="n"/>
    </row>
    <row r="36">
      <c r="A36" s="962" t="n"/>
      <c r="B36" s="224" t="n"/>
      <c r="C36" s="218" t="n"/>
      <c r="D36" s="237" t="n"/>
    </row>
    <row r="37">
      <c r="A37" s="962" t="n"/>
      <c r="B37" s="224" t="n"/>
      <c r="C37" s="218" t="n"/>
      <c r="D37" s="237" t="n"/>
    </row>
    <row r="38">
      <c r="A38" s="962" t="n"/>
      <c r="B38" s="224" t="n"/>
      <c r="C38" s="218" t="n"/>
      <c r="D38" s="237" t="n"/>
    </row>
    <row r="39">
      <c r="A39" s="962" t="n"/>
      <c r="B39" s="224" t="n"/>
      <c r="C39" s="218" t="n"/>
      <c r="D39" s="237" t="n"/>
    </row>
    <row r="40">
      <c r="A40" s="962" t="n"/>
      <c r="B40" s="224" t="n"/>
      <c r="C40" s="218" t="n"/>
      <c r="D40" s="237" t="n"/>
    </row>
    <row r="41">
      <c r="A41" s="962" t="n"/>
      <c r="B41" s="226" t="n"/>
      <c r="C41" s="218" t="n"/>
      <c r="D41" s="970" t="n"/>
    </row>
  </sheetData>
  <mergeCells count="3">
    <mergeCell ref="D2:D41"/>
    <mergeCell ref="A1:D1"/>
    <mergeCell ref="A2:A41"/>
  </mergeCells>
  <hyperlinks>
    <hyperlink ref="A2" location="'FORMULARIO 210'!S14" display="Renglón 30"/>
  </hyperlinks>
  <pageMargins left="0.7" right="0.7" top="0.75" bottom="0.75" header="0.3" footer="0.3"/>
  <pageSetup orientation="portrait" horizontalDpi="300" verticalDpi="300"/>
</worksheet>
</file>

<file path=xl/worksheets/sheet11.xml><?xml version="1.0" encoding="utf-8"?>
<worksheet xmlns="http://schemas.openxmlformats.org/spreadsheetml/2006/main">
  <sheetPr codeName="Hoja6">
    <tabColor rgb="FF0070C0"/>
    <outlinePr summaryBelow="1" summaryRight="1"/>
    <pageSetUpPr/>
  </sheetPr>
  <dimension ref="B1:M75"/>
  <sheetViews>
    <sheetView showGridLines="0" zoomScale="170" zoomScaleNormal="170" zoomScaleSheetLayoutView="133" workbookViewId="0">
      <pane xSplit="6" ySplit="2" topLeftCell="G58" activePane="bottomRight" state="frozen"/>
      <selection pane="topRight" activeCell="G1" sqref="G1"/>
      <selection pane="bottomLeft" activeCell="A3" sqref="A3"/>
      <selection pane="bottomRight" activeCell="J63" sqref="J63"/>
    </sheetView>
  </sheetViews>
  <sheetFormatPr baseColWidth="10" defaultColWidth="11.5" defaultRowHeight="16"/>
  <cols>
    <col width="3.5" customWidth="1" style="5" min="1" max="1"/>
    <col width="2.6640625" customWidth="1" style="22" min="2" max="2"/>
    <col width="39.5" customWidth="1" style="5" min="3" max="3"/>
    <col width="14.1640625" customWidth="1" style="5" min="4" max="4"/>
    <col width="13.6640625" customWidth="1" style="5" min="5" max="5"/>
    <col width="14" customWidth="1" style="5" min="6" max="6"/>
    <col width="14.33203125" customWidth="1" style="5" min="7" max="7"/>
    <col width="24.83203125" customWidth="1" style="6" min="8" max="8"/>
    <col width="2.83203125" customWidth="1" style="5" min="9" max="9"/>
    <col width="15.6640625" customWidth="1" style="6" min="10" max="10"/>
    <col width="15" customWidth="1" style="5" min="11" max="11"/>
    <col width="17.83203125" customWidth="1" style="22" min="12" max="12"/>
    <col width="18.5" bestFit="1" customWidth="1" style="5" min="13" max="13"/>
    <col width="24.1640625" customWidth="1" style="5" min="14" max="14"/>
    <col width="11.5" customWidth="1" style="5" min="15" max="16384"/>
  </cols>
  <sheetData>
    <row r="1">
      <c r="B1" s="724" t="inlineStr">
        <is>
          <t>RENTAS DE TRABAJO Y/O HONORARIOS</t>
        </is>
      </c>
    </row>
    <row r="2" ht="45" customHeight="1">
      <c r="B2" s="701" t="n"/>
      <c r="C2" s="1021" t="inlineStr">
        <is>
          <t>Concepto</t>
        </is>
      </c>
      <c r="D2" s="971" t="n"/>
      <c r="E2" s="971" t="n"/>
      <c r="F2" s="967" t="n"/>
      <c r="G2" s="1022" t="inlineStr">
        <is>
          <t>Rentas de trabajo</t>
        </is>
      </c>
      <c r="H2" s="967" t="n"/>
      <c r="I2" s="701" t="inlineStr">
        <is>
          <t>Renglón 43</t>
        </is>
      </c>
      <c r="J2" s="726" t="inlineStr">
        <is>
          <t>Rentas por honorarios y comp. Serv. Personales sujetos a costos y gastos y no renta exenta num. 10 Art. 206 E.T.</t>
        </is>
      </c>
    </row>
    <row r="3">
      <c r="B3" s="237" t="n"/>
      <c r="C3" s="208" t="inlineStr">
        <is>
          <t>Indique el valor del salario mensual promedio de los últimos 6 meses (numeral 4 Art. 206 E.T.)</t>
        </is>
      </c>
      <c r="D3" s="91" t="n"/>
      <c r="E3" s="91" t="n"/>
      <c r="F3" s="91" t="n"/>
      <c r="G3" s="92" t="n"/>
      <c r="H3" s="155">
        <f>G4/12</f>
        <v/>
      </c>
      <c r="I3" s="237" t="n"/>
      <c r="J3" s="212" t="n"/>
      <c r="K3" s="201" t="n"/>
      <c r="L3" s="203" t="n"/>
    </row>
    <row r="4" ht="16" customHeight="1">
      <c r="B4" s="237" t="n"/>
      <c r="C4" s="1023" t="inlineStr">
        <is>
          <t xml:space="preserve">Salarios </t>
        </is>
      </c>
      <c r="D4" s="971" t="n"/>
      <c r="E4" s="971" t="n"/>
      <c r="F4" s="967" t="n"/>
      <c r="G4" s="199" t="n">
        <v>0</v>
      </c>
      <c r="H4" s="781">
        <f>ROUND(SUM(G4:G19),-3)</f>
        <v/>
      </c>
      <c r="I4" s="237" t="n"/>
      <c r="J4" s="781" t="n"/>
      <c r="K4" s="967" t="n"/>
      <c r="L4" s="781">
        <f>ROUND(SUM(J9:K19),-3)</f>
        <v/>
      </c>
    </row>
    <row r="5" ht="16" customHeight="1">
      <c r="B5" s="237" t="n"/>
      <c r="C5" s="1023" t="inlineStr">
        <is>
          <t>Bonificaciones, indemnizaciones, y otros ingresos salariales</t>
        </is>
      </c>
      <c r="D5" s="971" t="n"/>
      <c r="E5" s="971" t="n"/>
      <c r="F5" s="967" t="n"/>
      <c r="G5" s="199" t="n"/>
      <c r="H5" s="237" t="n"/>
      <c r="I5" s="237" t="n"/>
      <c r="J5" s="781" t="n"/>
      <c r="K5" s="967" t="n"/>
      <c r="L5" s="237" t="n"/>
    </row>
    <row r="6">
      <c r="B6" s="237" t="n"/>
      <c r="C6" s="1023" t="inlineStr">
        <is>
          <t>Cesantías consignadas</t>
        </is>
      </c>
      <c r="D6" s="971" t="n"/>
      <c r="E6" s="971" t="n"/>
      <c r="F6" s="967" t="n"/>
      <c r="G6" s="199" t="n">
        <v>0</v>
      </c>
      <c r="H6" s="237" t="n"/>
      <c r="I6" s="237" t="n"/>
      <c r="J6" s="781" t="n"/>
      <c r="K6" s="967" t="n"/>
      <c r="L6" s="237" t="n"/>
    </row>
    <row r="7">
      <c r="B7" s="237" t="n"/>
      <c r="C7" s="1023" t="inlineStr">
        <is>
          <t xml:space="preserve">Intereses sobre cesantías </t>
        </is>
      </c>
      <c r="D7" s="971" t="n"/>
      <c r="E7" s="971" t="n"/>
      <c r="F7" s="967" t="n"/>
      <c r="G7" s="199" t="n"/>
      <c r="H7" s="237" t="n"/>
      <c r="I7" s="237" t="n"/>
      <c r="J7" s="781" t="n"/>
      <c r="K7" s="967" t="n"/>
      <c r="L7" s="237" t="n"/>
    </row>
    <row r="8">
      <c r="B8" s="237" t="n"/>
      <c r="C8" s="1023" t="inlineStr">
        <is>
          <t>Cesantías 2016 y anteriores</t>
        </is>
      </c>
      <c r="D8" s="971" t="n"/>
      <c r="E8" s="971" t="n"/>
      <c r="F8" s="967" t="n"/>
      <c r="G8" s="199" t="n"/>
      <c r="H8" s="237" t="n"/>
      <c r="I8" s="237" t="n"/>
      <c r="J8" s="781" t="n"/>
      <c r="K8" s="967" t="n"/>
      <c r="L8" s="237" t="n"/>
    </row>
    <row r="9">
      <c r="B9" s="237" t="n"/>
      <c r="C9" s="1023" t="inlineStr">
        <is>
          <t>Honorarios</t>
        </is>
      </c>
      <c r="D9" s="971" t="n"/>
      <c r="E9" s="971" t="n"/>
      <c r="F9" s="967" t="n"/>
      <c r="G9" s="199" t="n"/>
      <c r="H9" s="237" t="n"/>
      <c r="I9" s="237" t="n"/>
      <c r="J9" s="1024" t="n">
        <v>0</v>
      </c>
      <c r="K9" s="967" t="n"/>
      <c r="L9" s="237" t="n"/>
      <c r="M9" s="5">
        <f>+G9*0.25</f>
        <v/>
      </c>
    </row>
    <row r="10">
      <c r="B10" s="237" t="n"/>
      <c r="C10" s="1023" t="inlineStr">
        <is>
          <t xml:space="preserve">Comisiones </t>
        </is>
      </c>
      <c r="D10" s="971" t="n"/>
      <c r="E10" s="971" t="n"/>
      <c r="F10" s="967" t="n"/>
      <c r="G10" s="199" t="n"/>
      <c r="H10" s="237" t="n"/>
      <c r="I10" s="237" t="n"/>
      <c r="J10" s="1025" t="n"/>
      <c r="K10" s="967" t="n"/>
      <c r="L10" s="237" t="n"/>
    </row>
    <row r="11">
      <c r="B11" s="237" t="n"/>
      <c r="C11" s="1023" t="inlineStr">
        <is>
          <t>Servicios personales</t>
        </is>
      </c>
      <c r="D11" s="971" t="n"/>
      <c r="E11" s="971" t="n"/>
      <c r="F11" s="967" t="n"/>
      <c r="G11" s="199" t="n"/>
      <c r="H11" s="237" t="n"/>
      <c r="I11" s="237" t="n"/>
      <c r="J11" s="1025" t="n"/>
      <c r="K11" s="967" t="n"/>
      <c r="L11" s="237" t="n"/>
    </row>
    <row r="12">
      <c r="B12" s="237" t="n"/>
      <c r="C12" s="785" t="inlineStr">
        <is>
          <t>Otros laborales y prestaciones sociales</t>
        </is>
      </c>
      <c r="D12" s="996" t="n"/>
      <c r="E12" s="996" t="n"/>
      <c r="F12" s="997" t="n"/>
      <c r="G12" s="199" t="n">
        <v>0</v>
      </c>
      <c r="H12" s="237" t="n"/>
      <c r="I12" s="237" t="n"/>
      <c r="J12" s="1025" t="n"/>
      <c r="K12" s="967" t="n"/>
      <c r="L12" s="237" t="n"/>
    </row>
    <row r="13">
      <c r="B13" s="237" t="n"/>
      <c r="C13" s="785" t="n"/>
      <c r="D13" s="996" t="n"/>
      <c r="E13" s="996" t="n"/>
      <c r="F13" s="997" t="n"/>
      <c r="G13" s="200" t="n"/>
      <c r="H13" s="237" t="n"/>
      <c r="I13" s="237" t="n"/>
      <c r="J13" s="1025" t="n"/>
      <c r="K13" s="967" t="n"/>
      <c r="L13" s="237" t="n"/>
    </row>
    <row r="14">
      <c r="B14" s="237" t="n"/>
      <c r="C14" s="785" t="n"/>
      <c r="D14" s="996" t="n"/>
      <c r="E14" s="996" t="n"/>
      <c r="F14" s="997" t="n"/>
      <c r="G14" s="200" t="n"/>
      <c r="H14" s="237" t="n"/>
      <c r="I14" s="237" t="n"/>
      <c r="J14" s="1025" t="n"/>
      <c r="K14" s="967" t="n"/>
      <c r="L14" s="237" t="n"/>
    </row>
    <row r="15">
      <c r="B15" s="237" t="n"/>
      <c r="C15" s="785" t="n"/>
      <c r="D15" s="996" t="n"/>
      <c r="E15" s="996" t="n"/>
      <c r="F15" s="997" t="n"/>
      <c r="G15" s="200" t="n"/>
      <c r="H15" s="237" t="n"/>
      <c r="I15" s="237" t="n"/>
      <c r="J15" s="1025" t="n"/>
      <c r="K15" s="967" t="n"/>
      <c r="L15" s="237" t="n"/>
    </row>
    <row r="16">
      <c r="B16" s="237" t="n"/>
      <c r="C16" s="785" t="n"/>
      <c r="D16" s="996" t="n"/>
      <c r="E16" s="996" t="n"/>
      <c r="F16" s="997" t="n"/>
      <c r="G16" s="200" t="n"/>
      <c r="H16" s="237" t="n"/>
      <c r="I16" s="237" t="n"/>
      <c r="J16" s="1025" t="n"/>
      <c r="K16" s="967" t="n"/>
      <c r="L16" s="237" t="n"/>
    </row>
    <row r="17">
      <c r="B17" s="237" t="n"/>
      <c r="C17" s="785" t="n"/>
      <c r="D17" s="996" t="n"/>
      <c r="E17" s="996" t="n"/>
      <c r="F17" s="997" t="n"/>
      <c r="G17" s="200" t="n"/>
      <c r="H17" s="237" t="n"/>
      <c r="I17" s="237" t="n"/>
      <c r="J17" s="1025" t="n"/>
      <c r="K17" s="967" t="n"/>
      <c r="L17" s="237" t="n"/>
    </row>
    <row r="18">
      <c r="B18" s="237" t="n"/>
      <c r="C18" s="785" t="n"/>
      <c r="D18" s="996" t="n"/>
      <c r="E18" s="996" t="n"/>
      <c r="F18" s="997" t="n"/>
      <c r="G18" s="200" t="n"/>
      <c r="H18" s="237" t="n"/>
      <c r="I18" s="237" t="n"/>
      <c r="J18" s="1025" t="n"/>
      <c r="K18" s="967" t="n"/>
      <c r="L18" s="237" t="n"/>
    </row>
    <row r="19">
      <c r="B19" s="970" t="n"/>
      <c r="C19" s="785" t="n"/>
      <c r="D19" s="996" t="n"/>
      <c r="E19" s="996" t="n"/>
      <c r="F19" s="997" t="n"/>
      <c r="G19" s="200" t="n"/>
      <c r="H19" s="970" t="n"/>
      <c r="I19" s="970" t="n"/>
      <c r="J19" s="1025" t="n"/>
      <c r="K19" s="967" t="n"/>
      <c r="L19" s="970" t="n"/>
    </row>
    <row r="20">
      <c r="B20" s="731" t="inlineStr">
        <is>
          <t xml:space="preserve">INCRNGO </t>
        </is>
      </c>
      <c r="C20" s="958" t="n"/>
      <c r="D20" s="958" t="n"/>
      <c r="E20" s="958" t="n"/>
      <c r="F20" s="958" t="n"/>
      <c r="G20" s="958" t="n"/>
      <c r="H20" s="958" t="n"/>
      <c r="I20" s="958" t="n"/>
      <c r="J20" s="958" t="n"/>
      <c r="K20" s="958" t="n"/>
      <c r="L20" s="958" t="n"/>
    </row>
    <row r="21" ht="16" customHeight="1">
      <c r="B21" s="730" t="n"/>
      <c r="C21" s="1023" t="inlineStr">
        <is>
          <t>Aporte obligatorio a pensión</t>
        </is>
      </c>
      <c r="D21" s="971" t="n"/>
      <c r="E21" s="971" t="n"/>
      <c r="F21" s="967" t="n"/>
      <c r="G21" s="317" t="n">
        <v>0</v>
      </c>
      <c r="H21" s="781">
        <f>ROUND(SUM(G21:G32),-3)</f>
        <v/>
      </c>
      <c r="I21" s="730" t="inlineStr">
        <is>
          <t>Renglón 44</t>
        </is>
      </c>
      <c r="J21" s="781" t="n"/>
      <c r="K21" s="967" t="n"/>
      <c r="L21" s="781">
        <f>J22+K24+J25+J26+J27+J28+J29+J30+J31+J32</f>
        <v/>
      </c>
    </row>
    <row r="22">
      <c r="B22" s="237" t="n"/>
      <c r="C22" s="1023" t="inlineStr">
        <is>
          <t>Bonos de alimentacion</t>
        </is>
      </c>
      <c r="D22" s="971" t="n"/>
      <c r="E22" s="971" t="n"/>
      <c r="F22" s="967" t="n"/>
      <c r="G22" s="317" t="n"/>
      <c r="H22" s="237" t="n"/>
      <c r="I22" s="237" t="n"/>
      <c r="J22" s="1025" t="n"/>
      <c r="K22" s="967" t="n"/>
      <c r="L22" s="237" t="n"/>
    </row>
    <row r="23">
      <c r="B23" s="237" t="n"/>
      <c r="C23" s="1023" t="inlineStr">
        <is>
          <t>Aporte obligatorio a salud</t>
        </is>
      </c>
      <c r="D23" s="971" t="n"/>
      <c r="E23" s="971" t="n"/>
      <c r="F23" s="967" t="n"/>
      <c r="G23" s="317" t="n">
        <v>0</v>
      </c>
      <c r="H23" s="237" t="n"/>
      <c r="I23" s="237" t="n"/>
      <c r="J23" s="781" t="n"/>
      <c r="K23" s="967" t="n"/>
      <c r="L23" s="237" t="n"/>
    </row>
    <row r="24">
      <c r="B24" s="237" t="n"/>
      <c r="C24" s="1023" t="inlineStr">
        <is>
          <t>Aporte voluntario a fondo obligatorio porvenir - RAIS</t>
        </is>
      </c>
      <c r="D24" s="971" t="n"/>
      <c r="E24" s="967" t="n"/>
      <c r="F24" s="204" t="n"/>
      <c r="G24" s="66">
        <f>Sheet1!U15</f>
        <v/>
      </c>
      <c r="H24" s="237" t="n"/>
      <c r="I24" s="237" t="n"/>
      <c r="J24" s="214" t="n"/>
      <c r="K24" s="235">
        <f>Sheet1!V17</f>
        <v/>
      </c>
      <c r="L24" s="237" t="n"/>
    </row>
    <row r="25">
      <c r="B25" s="237" t="n"/>
      <c r="C25" s="1023" t="inlineStr">
        <is>
          <t>Aporte obligatorio a pension como independiente</t>
        </is>
      </c>
      <c r="D25" s="971" t="n"/>
      <c r="E25" s="971" t="n"/>
      <c r="F25" s="967" t="n"/>
      <c r="G25" s="317" t="n"/>
      <c r="H25" s="237" t="n"/>
      <c r="I25" s="237" t="n"/>
      <c r="J25" s="1024" t="n">
        <v>0</v>
      </c>
      <c r="K25" s="967" t="n"/>
      <c r="L25" s="237" t="n"/>
    </row>
    <row r="26">
      <c r="B26" s="237" t="n"/>
      <c r="C26" s="1023" t="inlineStr">
        <is>
          <t>Aporte obligatorio a salud como independiente</t>
        </is>
      </c>
      <c r="D26" s="971" t="n"/>
      <c r="E26" s="971" t="n"/>
      <c r="F26" s="967" t="n"/>
      <c r="G26" s="317" t="n"/>
      <c r="H26" s="237" t="n"/>
      <c r="I26" s="237" t="n"/>
      <c r="J26" s="1024" t="n"/>
      <c r="K26" s="967" t="n"/>
      <c r="L26" s="237" t="n"/>
    </row>
    <row r="27">
      <c r="B27" s="237" t="n"/>
      <c r="C27" s="1023" t="inlineStr">
        <is>
          <t>Aporte A.R.L. NO TIENE EFECTO FISCAL</t>
        </is>
      </c>
      <c r="D27" s="971" t="n"/>
      <c r="E27" s="971" t="n"/>
      <c r="F27" s="967" t="n"/>
      <c r="G27" s="317" t="n"/>
      <c r="H27" s="237" t="n"/>
      <c r="I27" s="237" t="n"/>
      <c r="J27" s="1024" t="n"/>
      <c r="K27" s="967" t="n"/>
      <c r="L27" s="237" t="n"/>
    </row>
    <row r="28">
      <c r="B28" s="237" t="n"/>
      <c r="C28" s="702" t="inlineStr">
        <is>
          <t>Salarios funcionarios de organismos multilaterales</t>
        </is>
      </c>
      <c r="D28" s="996" t="n"/>
      <c r="E28" s="996" t="n"/>
      <c r="F28" s="997" t="n"/>
      <c r="G28" s="200" t="n"/>
      <c r="H28" s="237" t="n"/>
      <c r="I28" s="237" t="n"/>
      <c r="J28" s="1024" t="n"/>
      <c r="K28" s="967" t="n"/>
      <c r="L28" s="237" t="n"/>
    </row>
    <row r="29">
      <c r="B29" s="237" t="n"/>
      <c r="C29" s="702" t="inlineStr">
        <is>
          <t>Salarios y/o honorarios vinculados proyectos de investigación (Art. 57-2 E.T.)</t>
        </is>
      </c>
      <c r="D29" s="996" t="n"/>
      <c r="E29" s="996" t="n"/>
      <c r="F29" s="997" t="n"/>
      <c r="G29" s="200" t="n"/>
      <c r="H29" s="237" t="n"/>
      <c r="I29" s="237" t="n"/>
      <c r="J29" s="1025" t="n"/>
      <c r="K29" s="967" t="n"/>
      <c r="L29" s="237" t="n"/>
    </row>
    <row r="30">
      <c r="B30" s="237" t="n"/>
      <c r="C30" s="702" t="inlineStr">
        <is>
          <t xml:space="preserve">Apoyos ecónomicos (Art 46 E.T.) </t>
        </is>
      </c>
      <c r="D30" s="996" t="n"/>
      <c r="E30" s="996" t="n"/>
      <c r="F30" s="997" t="n"/>
      <c r="G30" s="200" t="n"/>
      <c r="H30" s="237" t="n"/>
      <c r="I30" s="237" t="n"/>
      <c r="J30" s="1025" t="n"/>
      <c r="K30" s="967" t="n"/>
      <c r="L30" s="237" t="n"/>
    </row>
    <row r="31">
      <c r="B31" s="237" t="n"/>
      <c r="C31" s="1026" t="n"/>
      <c r="D31" s="996" t="n"/>
      <c r="E31" s="996" t="n"/>
      <c r="F31" s="997" t="n"/>
      <c r="G31" s="200" t="n"/>
      <c r="H31" s="237" t="n"/>
      <c r="I31" s="237" t="n"/>
      <c r="J31" s="1025" t="n"/>
      <c r="K31" s="967" t="n"/>
      <c r="L31" s="237" t="n"/>
    </row>
    <row r="32">
      <c r="B32" s="970" t="n"/>
      <c r="C32" s="1026" t="n"/>
      <c r="D32" s="996" t="n"/>
      <c r="E32" s="996" t="n"/>
      <c r="F32" s="997" t="n"/>
      <c r="G32" s="200" t="n"/>
      <c r="H32" s="970" t="n"/>
      <c r="I32" s="970" t="n"/>
      <c r="J32" s="1025" t="n"/>
      <c r="K32" s="967" t="n"/>
      <c r="L32" s="970" t="n"/>
    </row>
    <row r="33" ht="16" customHeight="1">
      <c r="B33" s="90" t="inlineStr">
        <is>
          <t>Costos y  deducciones</t>
        </is>
      </c>
      <c r="C33" s="91" t="n"/>
      <c r="D33" s="91" t="n"/>
      <c r="E33" s="91" t="n"/>
      <c r="F33" s="91" t="n"/>
      <c r="G33" s="91" t="n"/>
      <c r="H33" s="92" t="n"/>
      <c r="I33" s="91" t="n"/>
      <c r="J33" s="91" t="n"/>
      <c r="K33" s="91" t="n"/>
      <c r="L33" s="92" t="n"/>
    </row>
    <row r="34" ht="16" customHeight="1">
      <c r="B34" s="723" t="n"/>
      <c r="C34" s="785" t="n"/>
      <c r="D34" s="996" t="n"/>
      <c r="E34" s="996" t="n"/>
      <c r="F34" s="997" t="n"/>
      <c r="G34" s="195" t="n"/>
      <c r="H34" s="791" t="n">
        <v>0</v>
      </c>
      <c r="I34" s="730" t="inlineStr">
        <is>
          <t>Renglón 45</t>
        </is>
      </c>
      <c r="J34" s="1024" t="n"/>
      <c r="K34" s="967" t="n"/>
      <c r="L34" s="791">
        <f>ROUND(MIN(SUM(J34:K47),K9),-3)</f>
        <v/>
      </c>
    </row>
    <row r="35">
      <c r="B35" s="237" t="n"/>
      <c r="C35" s="785" t="n"/>
      <c r="D35" s="996" t="n"/>
      <c r="E35" s="996" t="n"/>
      <c r="F35" s="997" t="n"/>
      <c r="G35" s="195" t="n"/>
      <c r="H35" s="237" t="n"/>
      <c r="I35" s="237" t="n"/>
      <c r="J35" s="1024" t="n"/>
      <c r="K35" s="967" t="n"/>
      <c r="L35" s="237" t="n"/>
    </row>
    <row r="36">
      <c r="B36" s="237" t="n"/>
      <c r="C36" s="785" t="inlineStr">
        <is>
          <t>Costos honorarios</t>
        </is>
      </c>
      <c r="D36" s="996" t="n"/>
      <c r="E36" s="996" t="n"/>
      <c r="F36" s="997" t="n"/>
      <c r="G36" s="196" t="n"/>
      <c r="H36" s="237" t="n"/>
      <c r="I36" s="237" t="n"/>
      <c r="J36" s="1024" t="n">
        <v>0</v>
      </c>
      <c r="K36" s="967" t="n"/>
      <c r="L36" s="237" t="n"/>
    </row>
    <row r="37">
      <c r="B37" s="237" t="n"/>
      <c r="C37" s="785" t="n"/>
      <c r="D37" s="996" t="n"/>
      <c r="E37" s="996" t="n"/>
      <c r="F37" s="997" t="n"/>
      <c r="G37" s="195" t="n"/>
      <c r="H37" s="237" t="n"/>
      <c r="I37" s="237" t="n"/>
      <c r="J37" s="1024" t="n"/>
      <c r="K37" s="967" t="n"/>
      <c r="L37" s="237" t="n"/>
    </row>
    <row r="38">
      <c r="B38" s="237" t="n"/>
      <c r="C38" s="785" t="n"/>
      <c r="D38" s="996" t="n"/>
      <c r="E38" s="996" t="n"/>
      <c r="F38" s="997" t="n"/>
      <c r="G38" s="195" t="n"/>
      <c r="H38" s="237" t="n"/>
      <c r="I38" s="237" t="n"/>
      <c r="J38" s="1024" t="n"/>
      <c r="K38" s="967" t="n"/>
      <c r="L38" s="237" t="n"/>
    </row>
    <row r="39">
      <c r="B39" s="237" t="n"/>
      <c r="C39" s="785" t="n"/>
      <c r="D39" s="996" t="n"/>
      <c r="E39" s="996" t="n"/>
      <c r="F39" s="997" t="n"/>
      <c r="G39" s="195" t="n"/>
      <c r="H39" s="237" t="n"/>
      <c r="I39" s="237" t="n"/>
      <c r="J39" s="1024" t="n"/>
      <c r="K39" s="967" t="n"/>
      <c r="L39" s="237" t="n"/>
    </row>
    <row r="40">
      <c r="B40" s="237" t="n"/>
      <c r="C40" s="785" t="n"/>
      <c r="D40" s="996" t="n"/>
      <c r="E40" s="996" t="n"/>
      <c r="F40" s="997" t="n"/>
      <c r="G40" s="195" t="n"/>
      <c r="H40" s="237" t="n"/>
      <c r="I40" s="237" t="n"/>
      <c r="J40" s="1024" t="n"/>
      <c r="K40" s="967" t="n"/>
      <c r="L40" s="237" t="n"/>
    </row>
    <row r="41">
      <c r="B41" s="237" t="n"/>
      <c r="C41" s="785" t="n"/>
      <c r="D41" s="996" t="n"/>
      <c r="E41" s="996" t="n"/>
      <c r="F41" s="997" t="n"/>
      <c r="G41" s="195" t="n"/>
      <c r="H41" s="237" t="n"/>
      <c r="I41" s="237" t="n"/>
      <c r="J41" s="1025" t="n"/>
      <c r="K41" s="967" t="n"/>
      <c r="L41" s="237" t="n"/>
    </row>
    <row r="42">
      <c r="B42" s="237" t="n"/>
      <c r="C42" s="785" t="n"/>
      <c r="D42" s="996" t="n"/>
      <c r="E42" s="996" t="n"/>
      <c r="F42" s="997" t="n"/>
      <c r="G42" s="195" t="n"/>
      <c r="H42" s="237" t="n"/>
      <c r="I42" s="237" t="n"/>
      <c r="J42" s="1025" t="n"/>
      <c r="K42" s="967" t="n"/>
      <c r="L42" s="237" t="n"/>
    </row>
    <row r="43">
      <c r="B43" s="237" t="n"/>
      <c r="C43" s="785" t="n"/>
      <c r="D43" s="996" t="n"/>
      <c r="E43" s="996" t="n"/>
      <c r="F43" s="997" t="n"/>
      <c r="G43" s="195" t="n"/>
      <c r="H43" s="237" t="n"/>
      <c r="I43" s="237" t="n"/>
      <c r="J43" s="1025" t="n"/>
      <c r="K43" s="967" t="n"/>
      <c r="L43" s="237" t="n"/>
    </row>
    <row r="44">
      <c r="B44" s="237" t="n"/>
      <c r="C44" s="785" t="n"/>
      <c r="D44" s="996" t="n"/>
      <c r="E44" s="996" t="n"/>
      <c r="F44" s="997" t="n"/>
      <c r="G44" s="195" t="n"/>
      <c r="H44" s="237" t="n"/>
      <c r="I44" s="237" t="n"/>
      <c r="J44" s="1025" t="n"/>
      <c r="K44" s="967" t="n"/>
      <c r="L44" s="237" t="n"/>
    </row>
    <row r="45">
      <c r="B45" s="237" t="n"/>
      <c r="C45" s="785" t="n"/>
      <c r="D45" s="996" t="n"/>
      <c r="E45" s="996" t="n"/>
      <c r="F45" s="997" t="n"/>
      <c r="G45" s="195" t="n"/>
      <c r="H45" s="237" t="n"/>
      <c r="I45" s="237" t="n"/>
      <c r="J45" s="1025" t="n"/>
      <c r="K45" s="967" t="n"/>
      <c r="L45" s="237" t="n"/>
    </row>
    <row r="46">
      <c r="B46" s="237" t="n"/>
      <c r="C46" s="785" t="n"/>
      <c r="D46" s="996" t="n"/>
      <c r="E46" s="996" t="n"/>
      <c r="F46" s="997" t="n"/>
      <c r="G46" s="195" t="n"/>
      <c r="H46" s="237" t="n"/>
      <c r="I46" s="237" t="n"/>
      <c r="J46" s="1025" t="n"/>
      <c r="K46" s="967" t="n"/>
      <c r="L46" s="237" t="n"/>
    </row>
    <row r="47">
      <c r="B47" s="237" t="n"/>
      <c r="C47" s="785" t="n"/>
      <c r="D47" s="996" t="n"/>
      <c r="E47" s="996" t="n"/>
      <c r="F47" s="997" t="n"/>
      <c r="G47" s="195" t="n"/>
      <c r="H47" s="970" t="n"/>
      <c r="I47" s="237" t="n"/>
      <c r="J47" s="1025" t="n"/>
      <c r="K47" s="967" t="n"/>
      <c r="L47" s="970" t="n"/>
    </row>
    <row r="48">
      <c r="B48" s="970" t="n"/>
      <c r="C48" s="198" t="inlineStr">
        <is>
          <t>Total rentas exentas y deducciones</t>
        </is>
      </c>
      <c r="D48" s="971" t="n"/>
      <c r="E48" s="971" t="n"/>
      <c r="F48" s="967" t="n"/>
      <c r="G48" s="198" t="n"/>
      <c r="H48" s="67">
        <f>SUM(H34:H47)</f>
        <v/>
      </c>
      <c r="I48" s="970" t="n"/>
      <c r="J48" s="774" t="n"/>
      <c r="K48" s="967" t="n"/>
      <c r="L48" s="67">
        <f>SUM(L34)</f>
        <v/>
      </c>
    </row>
    <row r="49">
      <c r="B49" s="90" t="inlineStr">
        <is>
          <t>Rentas exentas y deducciones</t>
        </is>
      </c>
      <c r="C49" s="211" t="n"/>
      <c r="D49" s="211" t="n"/>
      <c r="E49" s="211" t="n"/>
      <c r="F49" s="211" t="n"/>
      <c r="G49" s="211" t="n"/>
      <c r="H49" s="211" t="n"/>
      <c r="I49" s="211" t="n"/>
      <c r="J49" s="211" t="n"/>
      <c r="K49" s="211" t="n"/>
      <c r="L49" s="211" t="n"/>
    </row>
    <row r="50">
      <c r="B50" s="1027" t="n"/>
      <c r="C50" s="1023" t="inlineStr">
        <is>
          <t>Aporte voluntario a pension</t>
        </is>
      </c>
      <c r="D50" s="971" t="n"/>
      <c r="E50" s="967" t="n"/>
      <c r="F50" s="312" t="n">
        <v>0</v>
      </c>
      <c r="G50" s="65" t="n">
        <v>0</v>
      </c>
      <c r="H50" s="1028">
        <f>ROUND(SUM(G50:G67),-3)</f>
        <v/>
      </c>
      <c r="I50" s="1027" t="inlineStr">
        <is>
          <t>R. 47</t>
        </is>
      </c>
      <c r="J50" s="214" t="n"/>
      <c r="K50" s="1029" t="n">
        <v>0</v>
      </c>
      <c r="L50" s="1030">
        <f>ROUND(SUM(K52:K67),-3)</f>
        <v/>
      </c>
    </row>
    <row r="51">
      <c r="B51" s="970" t="n"/>
      <c r="C51" s="1023" t="inlineStr">
        <is>
          <t>Ahorro en cuenta AFC y/o AVC</t>
        </is>
      </c>
      <c r="D51" s="971" t="n"/>
      <c r="E51" s="967" t="n"/>
      <c r="F51" s="312" t="n"/>
      <c r="G51" s="970" t="n"/>
      <c r="H51" s="961" t="n"/>
      <c r="I51" s="970" t="n"/>
      <c r="J51" s="214" t="n"/>
      <c r="K51" s="970" t="n"/>
    </row>
    <row r="52" ht="15" customHeight="1">
      <c r="B52" s="701" t="n"/>
      <c r="C52" s="1023" t="inlineStr">
        <is>
          <t>Cesantías consignadas</t>
        </is>
      </c>
      <c r="D52" s="971" t="n"/>
      <c r="E52" s="967" t="n"/>
      <c r="F52" s="66" t="n">
        <v>0</v>
      </c>
      <c r="G52" s="65" t="n">
        <v>0</v>
      </c>
      <c r="H52" s="961" t="n"/>
      <c r="I52" s="701" t="inlineStr">
        <is>
          <t>Renglón 48</t>
        </is>
      </c>
      <c r="J52" s="781" t="n"/>
      <c r="K52" s="967" t="n"/>
    </row>
    <row r="53" ht="15" customHeight="1">
      <c r="B53" s="237" t="n"/>
      <c r="C53" s="1023" t="inlineStr">
        <is>
          <t>Intereses sobre cesantías</t>
        </is>
      </c>
      <c r="D53" s="971" t="n"/>
      <c r="E53" s="967" t="n"/>
      <c r="F53" s="66">
        <f>G7</f>
        <v/>
      </c>
      <c r="G53" s="237" t="n"/>
      <c r="H53" s="961" t="n"/>
      <c r="I53" s="237" t="n"/>
      <c r="J53" s="781" t="n"/>
      <c r="K53" s="967" t="n"/>
    </row>
    <row r="54" ht="15" customHeight="1">
      <c r="B54" s="237" t="n"/>
      <c r="C54" s="1023" t="inlineStr">
        <is>
          <t>Retiro de cesantias antes del año 2016 (Ley 1819 del 2016) No limitada</t>
        </is>
      </c>
      <c r="D54" s="971" t="n"/>
      <c r="E54" s="967" t="n"/>
      <c r="F54" s="66">
        <f>G8</f>
        <v/>
      </c>
      <c r="G54" s="970" t="n"/>
      <c r="H54" s="961" t="n"/>
      <c r="I54" s="237" t="n"/>
      <c r="J54" s="781" t="n"/>
      <c r="K54" s="967" t="n"/>
    </row>
    <row r="55" ht="15" customHeight="1">
      <c r="B55" s="237" t="n"/>
      <c r="C55" s="1023" t="inlineStr">
        <is>
          <t>Indemizaciones por accidente de trabajo (Numeral 1. Art. 206 E.T.)</t>
        </is>
      </c>
      <c r="D55" s="971" t="n"/>
      <c r="E55" s="971" t="n"/>
      <c r="F55" s="967" t="n"/>
      <c r="G55" s="209" t="n"/>
      <c r="H55" s="961" t="n"/>
      <c r="I55" s="237" t="n"/>
      <c r="J55" s="781" t="n"/>
      <c r="K55" s="967" t="n"/>
    </row>
    <row r="56" ht="15" customHeight="1">
      <c r="B56" s="237" t="n"/>
      <c r="C56" s="1023" t="inlineStr">
        <is>
          <t>Indemizaciones por protección a maternidad  (Numeral 2. Art. 206 E.T.)</t>
        </is>
      </c>
      <c r="D56" s="971" t="n"/>
      <c r="E56" s="971" t="n"/>
      <c r="F56" s="967" t="n"/>
      <c r="G56" s="209" t="n"/>
      <c r="H56" s="961" t="n"/>
      <c r="I56" s="237" t="n"/>
      <c r="J56" s="781" t="n"/>
      <c r="K56" s="967" t="n"/>
    </row>
    <row r="57" ht="15" customHeight="1">
      <c r="B57" s="237" t="n"/>
      <c r="C57" s="1023" t="inlineStr">
        <is>
          <t>Gastos de entierro   (Numeral 3. Art. 206 E.T.)</t>
        </is>
      </c>
      <c r="D57" s="971" t="n"/>
      <c r="E57" s="971" t="n"/>
      <c r="F57" s="967" t="n"/>
      <c r="G57" s="209" t="n"/>
      <c r="H57" s="961" t="n"/>
      <c r="I57" s="237" t="n"/>
      <c r="J57" s="781" t="n"/>
      <c r="K57" s="967" t="n"/>
    </row>
    <row r="58" ht="32.25" customHeight="1">
      <c r="B58" s="237" t="n"/>
      <c r="C58" s="1031" t="inlineStr">
        <is>
          <t>Seguro por muerte, compensaciones por muerte y prestaciones sociales de FFMM.  (Numeral 6 Art. 206 E.T.). No limitada</t>
        </is>
      </c>
      <c r="D58" s="971" t="n"/>
      <c r="E58" s="971" t="n"/>
      <c r="F58" s="967" t="n"/>
      <c r="G58" s="209" t="n"/>
      <c r="H58" s="961" t="n"/>
      <c r="I58" s="237" t="n"/>
      <c r="J58" s="781" t="n"/>
      <c r="K58" s="967" t="n"/>
    </row>
    <row r="59">
      <c r="B59" s="237" t="n"/>
      <c r="C59" s="1023" t="inlineStr">
        <is>
          <t>Exceso de salario fuerzas militares. (Numeral 8 Art. 206 E.T.). No limitada</t>
        </is>
      </c>
      <c r="D59" s="971" t="n"/>
      <c r="E59" s="971" t="n"/>
      <c r="F59" s="967" t="n"/>
      <c r="G59" s="210" t="n"/>
      <c r="H59" s="961" t="n"/>
      <c r="I59" s="237" t="n"/>
      <c r="J59" s="781" t="n"/>
      <c r="K59" s="967" t="n"/>
    </row>
    <row r="60" ht="35.25" customHeight="1">
      <c r="B60" s="237" t="n"/>
      <c r="C60" s="1031" t="inlineStr">
        <is>
          <t>Gastos de representación rectores y profesores universidades publicas. (Numeral 9 Art. 206 E.T.). No limitada</t>
        </is>
      </c>
      <c r="D60" s="971" t="n"/>
      <c r="E60" s="971" t="n"/>
      <c r="F60" s="967" t="n"/>
      <c r="G60" s="209" t="n"/>
      <c r="H60" s="961" t="n"/>
      <c r="I60" s="237" t="n"/>
      <c r="J60" s="781" t="n"/>
      <c r="K60" s="967" t="n"/>
    </row>
    <row r="61" ht="29.25" customHeight="1">
      <c r="B61" s="237" t="n"/>
      <c r="C61" s="1032" t="inlineStr">
        <is>
          <t>Prima especial  y prima de costo de vida servidores publicos - Diplomaticos. ( Art. 206-1 E.T.). No limitada</t>
        </is>
      </c>
      <c r="D61" s="971" t="n"/>
      <c r="E61" s="971" t="n"/>
      <c r="F61" s="967" t="n"/>
      <c r="G61" s="209" t="n"/>
      <c r="H61" s="961" t="n"/>
      <c r="I61" s="237" t="n"/>
      <c r="J61" s="781" t="n"/>
      <c r="K61" s="967" t="n"/>
    </row>
    <row r="62" ht="15" customHeight="1">
      <c r="B62" s="970" t="n"/>
      <c r="C62" s="1033" t="inlineStr">
        <is>
          <t>Renta exenta del 25%</t>
        </is>
      </c>
      <c r="D62" s="971" t="n"/>
      <c r="E62" s="971" t="n"/>
      <c r="F62" s="967" t="n"/>
      <c r="G62" s="362" t="n">
        <v>0</v>
      </c>
      <c r="H62" s="961" t="n"/>
      <c r="I62" s="970" t="n"/>
      <c r="J62" s="781" t="n"/>
      <c r="K62" s="967" t="n"/>
    </row>
    <row r="63" ht="22" customHeight="1">
      <c r="B63" s="1034" t="n"/>
      <c r="C63" s="1033" t="inlineStr">
        <is>
          <t>Intereses por prestamos de vivienda (casa habitación)</t>
        </is>
      </c>
      <c r="D63" s="971" t="n"/>
      <c r="E63" s="967" t="n"/>
      <c r="F63" s="200" t="n">
        <v>0</v>
      </c>
      <c r="G63" s="66">
        <f>IF(F63&gt;(1200*H74),(1200*H74),F63)</f>
        <v/>
      </c>
      <c r="H63" s="961" t="n"/>
      <c r="I63" s="1034" t="inlineStr">
        <is>
          <t>R. 50</t>
        </is>
      </c>
      <c r="J63" s="200" t="n">
        <v>0</v>
      </c>
      <c r="K63" s="66">
        <f>Sheet1!J46</f>
        <v/>
      </c>
    </row>
    <row r="64">
      <c r="B64" s="1035" t="n"/>
      <c r="C64" s="1033" t="inlineStr">
        <is>
          <t>Deduccion por dependientes</t>
        </is>
      </c>
      <c r="D64" s="971" t="n"/>
      <c r="E64" s="967" t="n"/>
      <c r="F64" s="200" t="inlineStr">
        <is>
          <t>No</t>
        </is>
      </c>
      <c r="G64" s="65" t="n">
        <v>0</v>
      </c>
      <c r="H64" s="961" t="n"/>
      <c r="I64" s="1027" t="inlineStr">
        <is>
          <t>Renglón 51</t>
        </is>
      </c>
      <c r="J64" s="200" t="inlineStr">
        <is>
          <t>No</t>
        </is>
      </c>
      <c r="K64" s="65" t="n">
        <v>0</v>
      </c>
    </row>
    <row r="65" ht="16" customHeight="1">
      <c r="B65" s="237" t="n"/>
      <c r="C65" s="1033" t="inlineStr">
        <is>
          <t>Deducción por medicina prepagada y plan complementario</t>
        </is>
      </c>
      <c r="D65" s="971" t="n"/>
      <c r="E65" s="967" t="n"/>
      <c r="F65" s="200" t="n">
        <v>0</v>
      </c>
      <c r="G65" s="66" t="n">
        <v>0</v>
      </c>
      <c r="H65" s="961" t="n"/>
      <c r="I65" s="237" t="n"/>
      <c r="J65" s="425" t="n"/>
      <c r="K65" s="66">
        <f>Sheet1!J62</f>
        <v/>
      </c>
    </row>
    <row r="66" ht="15" customHeight="1">
      <c r="B66" s="237" t="n"/>
      <c r="C66" s="1033" t="inlineStr">
        <is>
          <t>G.M.F.</t>
        </is>
      </c>
      <c r="D66" s="971" t="n"/>
      <c r="E66" s="967" t="n"/>
      <c r="F66" s="200" t="n"/>
      <c r="G66" s="66">
        <f>F66/2</f>
        <v/>
      </c>
      <c r="H66" s="961" t="n"/>
      <c r="I66" s="237" t="n"/>
      <c r="J66" s="360" t="n"/>
      <c r="K66" s="66">
        <f>J66/2</f>
        <v/>
      </c>
    </row>
    <row r="67" ht="15" customHeight="1">
      <c r="B67" s="237" t="n"/>
      <c r="C67" s="1033" t="inlineStr">
        <is>
          <t>Aportes voluntarios a fondos de cesantias (Inc. 6 Art 126-1 E.T.)</t>
        </is>
      </c>
      <c r="D67" s="971" t="n"/>
      <c r="E67" s="967" t="n"/>
      <c r="F67" s="200" t="n"/>
      <c r="G67" s="66">
        <f>Sheet1!J72</f>
        <v/>
      </c>
      <c r="H67" s="963" t="n"/>
      <c r="I67" s="970" t="n"/>
      <c r="J67" s="213" t="n"/>
      <c r="K67" s="66">
        <f>Sheet1!J75</f>
        <v/>
      </c>
      <c r="L67" s="964" t="n"/>
    </row>
    <row r="68">
      <c r="B68" s="216" t="n"/>
      <c r="C68" s="198" t="inlineStr">
        <is>
          <t>Total rentas exentas y deducciones</t>
        </is>
      </c>
      <c r="D68" s="971" t="n"/>
      <c r="E68" s="971" t="n"/>
      <c r="F68" s="967" t="n"/>
      <c r="G68" s="198" t="n"/>
      <c r="H68" s="67">
        <f>SUM(H50:H67)</f>
        <v/>
      </c>
      <c r="I68" s="216" t="n"/>
      <c r="J68" s="67" t="n"/>
      <c r="K68" s="198" t="n"/>
      <c r="L68" s="67">
        <f>SUM(L50)</f>
        <v/>
      </c>
    </row>
    <row r="69">
      <c r="B69" s="5" t="n"/>
      <c r="H69" s="5" t="n"/>
      <c r="J69" s="5" t="n"/>
      <c r="L69" s="5" t="n"/>
    </row>
    <row r="70">
      <c r="B70" s="701" t="n"/>
      <c r="C70" s="704" t="inlineStr">
        <is>
          <t>Compensaciones por pérdidas</t>
        </is>
      </c>
    </row>
    <row r="71">
      <c r="B71" s="970" t="n"/>
      <c r="C71" s="702" t="inlineStr">
        <is>
          <t>Compensación de perdidas</t>
        </is>
      </c>
      <c r="D71" s="996" t="n"/>
      <c r="E71" s="997" t="n"/>
      <c r="F71" s="706" t="n"/>
      <c r="G71" s="971" t="n"/>
      <c r="H71" s="707" t="n"/>
      <c r="I71" s="707" t="n"/>
      <c r="J71" s="230" t="n"/>
      <c r="K71" s="894" t="n"/>
      <c r="L71" s="202">
        <f>K71</f>
        <v/>
      </c>
    </row>
    <row r="72">
      <c r="B72" s="5" t="n"/>
      <c r="H72" s="5" t="n"/>
      <c r="J72" s="5" t="n"/>
      <c r="L72" s="5" t="n"/>
    </row>
    <row r="73">
      <c r="B73" s="5" t="n"/>
      <c r="H73" s="5" t="n"/>
      <c r="J73" s="5" t="n"/>
      <c r="L73" s="5" t="n"/>
    </row>
    <row r="74">
      <c r="B74" s="229" t="inlineStr">
        <is>
          <t>Valor UVT</t>
        </is>
      </c>
      <c r="C74" s="971" t="n"/>
      <c r="D74" s="971" t="n"/>
      <c r="E74" s="971" t="n"/>
      <c r="F74" s="967" t="n"/>
      <c r="G74" s="229" t="n"/>
      <c r="H74" s="155" t="n">
        <v>49799</v>
      </c>
      <c r="I74" s="6" t="n"/>
      <c r="K74" s="6" t="n"/>
      <c r="L74" s="6" t="n"/>
    </row>
    <row r="75">
      <c r="I75" s="6" t="n"/>
      <c r="K75" s="6" t="n"/>
      <c r="L75" s="6" t="n"/>
      <c r="M75" s="22" t="n"/>
    </row>
  </sheetData>
  <mergeCells count="148">
    <mergeCell ref="C61:F61"/>
    <mergeCell ref="C39:F39"/>
    <mergeCell ref="J10:K10"/>
    <mergeCell ref="J19:K19"/>
    <mergeCell ref="J28:K28"/>
    <mergeCell ref="C32:F32"/>
    <mergeCell ref="J59:K59"/>
    <mergeCell ref="C37:F37"/>
    <mergeCell ref="J60:K60"/>
    <mergeCell ref="C51:E51"/>
    <mergeCell ref="J9:K9"/>
    <mergeCell ref="C13:F13"/>
    <mergeCell ref="L21:L32"/>
    <mergeCell ref="C71:E71"/>
    <mergeCell ref="I52:I62"/>
    <mergeCell ref="J53:K53"/>
    <mergeCell ref="C6:F6"/>
    <mergeCell ref="C62:F62"/>
    <mergeCell ref="L50:L67"/>
    <mergeCell ref="C15:F15"/>
    <mergeCell ref="J45:K45"/>
    <mergeCell ref="B1:L1"/>
    <mergeCell ref="J4:K4"/>
    <mergeCell ref="H4:H19"/>
    <mergeCell ref="C26:F26"/>
    <mergeCell ref="J31:K31"/>
    <mergeCell ref="C10:F10"/>
    <mergeCell ref="C41:F41"/>
    <mergeCell ref="F71:G71"/>
    <mergeCell ref="G50:G51"/>
    <mergeCell ref="I2:I19"/>
    <mergeCell ref="I50:I51"/>
    <mergeCell ref="J21:K21"/>
    <mergeCell ref="C56:F56"/>
    <mergeCell ref="C43:F43"/>
    <mergeCell ref="I21:I32"/>
    <mergeCell ref="J62:K62"/>
    <mergeCell ref="J23:K23"/>
    <mergeCell ref="J58:K58"/>
    <mergeCell ref="C27:F27"/>
    <mergeCell ref="C2:F2"/>
    <mergeCell ref="C36:F36"/>
    <mergeCell ref="C17:F17"/>
    <mergeCell ref="B52:B62"/>
    <mergeCell ref="C70:L70"/>
    <mergeCell ref="J57:K57"/>
    <mergeCell ref="C19:F19"/>
    <mergeCell ref="C28:F28"/>
    <mergeCell ref="L34:L47"/>
    <mergeCell ref="J34:K34"/>
    <mergeCell ref="C52:E52"/>
    <mergeCell ref="C30:F30"/>
    <mergeCell ref="J27:K27"/>
    <mergeCell ref="C5:F5"/>
    <mergeCell ref="J36:K36"/>
    <mergeCell ref="C14:F14"/>
    <mergeCell ref="J2:L2"/>
    <mergeCell ref="J11:K11"/>
    <mergeCell ref="B21:B32"/>
    <mergeCell ref="C4:F4"/>
    <mergeCell ref="I64:I67"/>
    <mergeCell ref="J22:K22"/>
    <mergeCell ref="B74:F74"/>
    <mergeCell ref="C24:E24"/>
    <mergeCell ref="C40:F40"/>
    <mergeCell ref="H21:H32"/>
    <mergeCell ref="J12:K12"/>
    <mergeCell ref="J46:K46"/>
    <mergeCell ref="B64:B67"/>
    <mergeCell ref="H50:H67"/>
    <mergeCell ref="I34:I48"/>
    <mergeCell ref="J61:K61"/>
    <mergeCell ref="J48:K48"/>
    <mergeCell ref="C63:E63"/>
    <mergeCell ref="C50:E50"/>
    <mergeCell ref="J29:K29"/>
    <mergeCell ref="C8:F8"/>
    <mergeCell ref="G2:H2"/>
    <mergeCell ref="J38:K38"/>
    <mergeCell ref="C57:F57"/>
    <mergeCell ref="J40:K40"/>
    <mergeCell ref="C18:F18"/>
    <mergeCell ref="C34:F34"/>
    <mergeCell ref="C68:F68"/>
    <mergeCell ref="C58:F58"/>
    <mergeCell ref="C67:E67"/>
    <mergeCell ref="J26:K26"/>
    <mergeCell ref="J35:K35"/>
    <mergeCell ref="C45:F45"/>
    <mergeCell ref="J16:K16"/>
    <mergeCell ref="B34:B48"/>
    <mergeCell ref="J25:K25"/>
    <mergeCell ref="C29:F29"/>
    <mergeCell ref="C47:F47"/>
    <mergeCell ref="C44:F44"/>
    <mergeCell ref="C22:F22"/>
    <mergeCell ref="H34:H47"/>
    <mergeCell ref="C31:F31"/>
    <mergeCell ref="C12:F12"/>
    <mergeCell ref="J42:K42"/>
    <mergeCell ref="C46:F46"/>
    <mergeCell ref="C21:F21"/>
    <mergeCell ref="B20:L20"/>
    <mergeCell ref="C64:E64"/>
    <mergeCell ref="C60:F60"/>
    <mergeCell ref="J52:K52"/>
    <mergeCell ref="C54:E54"/>
    <mergeCell ref="J39:K39"/>
    <mergeCell ref="J44:K44"/>
    <mergeCell ref="C48:F48"/>
    <mergeCell ref="C23:F23"/>
    <mergeCell ref="J5:K5"/>
    <mergeCell ref="L4:L19"/>
    <mergeCell ref="J14:K14"/>
    <mergeCell ref="B70:B71"/>
    <mergeCell ref="C38:F38"/>
    <mergeCell ref="C7:F7"/>
    <mergeCell ref="J37:K37"/>
    <mergeCell ref="J13:K13"/>
    <mergeCell ref="K50:K51"/>
    <mergeCell ref="J30:K30"/>
    <mergeCell ref="J6:K6"/>
    <mergeCell ref="J15:K15"/>
    <mergeCell ref="G52:G54"/>
    <mergeCell ref="C42:F42"/>
    <mergeCell ref="J55:K55"/>
    <mergeCell ref="C66:E66"/>
    <mergeCell ref="C35:F35"/>
    <mergeCell ref="C53:E53"/>
    <mergeCell ref="J54:K54"/>
    <mergeCell ref="J32:K32"/>
    <mergeCell ref="J7:K7"/>
    <mergeCell ref="J41:K41"/>
    <mergeCell ref="C16:F16"/>
    <mergeCell ref="C25:F25"/>
    <mergeCell ref="C55:F55"/>
    <mergeCell ref="J47:K47"/>
    <mergeCell ref="J56:K56"/>
    <mergeCell ref="C9:F9"/>
    <mergeCell ref="J43:K43"/>
    <mergeCell ref="C59:F59"/>
    <mergeCell ref="J18:K18"/>
    <mergeCell ref="B2:B19"/>
    <mergeCell ref="C11:F11"/>
    <mergeCell ref="B50:B51"/>
    <mergeCell ref="J8:K8"/>
    <mergeCell ref="C65:E65"/>
    <mergeCell ref="J17:K17"/>
  </mergeCells>
  <dataValidations count="1">
    <dataValidation sqref="F64 J64" showDropDown="0" showInputMessage="1" showErrorMessage="1" allowBlank="1" type="list">
      <formula1>"Si,No"</formula1>
    </dataValidation>
  </dataValidations>
  <hyperlinks>
    <hyperlink ref="I2" location="'FORMULARIO 210'!M16" display="Renglón 43"/>
    <hyperlink ref="I21" location="'FORMULARIO 210'!M18" display="Renglón 44"/>
    <hyperlink ref="I34" location="'FORMULARIO 210'!M19" display="Renglón 45"/>
    <hyperlink ref="I50" location="'FORMULARIO 210'!M22" display="R. 47"/>
    <hyperlink ref="I52" location="'FORMULARIO 210'!M23" display="Renglón 48"/>
    <hyperlink ref="I63" location="'FORMULARIO 210'!M25" display="R. 50"/>
    <hyperlink ref="I64" location="'FORMULARIO 210'!M26" display="Renglón 51"/>
  </hyperlinks>
  <pageMargins left="0.7" right="0.7" top="0.75" bottom="0.75" header="0.3" footer="0.3"/>
  <pageSetup orientation="portrait" scale="60" horizontalDpi="1200" verticalDpi="1200"/>
  <legacyDrawing xmlns:r="http://schemas.openxmlformats.org/officeDocument/2006/relationships" r:id="anysvml"/>
</worksheet>
</file>

<file path=xl/worksheets/sheet12.xml><?xml version="1.0" encoding="utf-8"?>
<worksheet xmlns="http://schemas.openxmlformats.org/spreadsheetml/2006/main">
  <sheetPr>
    <tabColor theme="3" tint="0.3999755851924192"/>
    <outlinePr summaryBelow="1" summaryRight="1"/>
    <pageSetUpPr/>
  </sheetPr>
  <dimension ref="B3:D19"/>
  <sheetViews>
    <sheetView showGridLines="0" zoomScale="230" zoomScaleNormal="230" workbookViewId="0">
      <selection activeCell="C4" sqref="C4"/>
    </sheetView>
  </sheetViews>
  <sheetFormatPr baseColWidth="10" defaultRowHeight="14"/>
  <cols>
    <col width="10.83203125" customWidth="1" style="1036" min="1" max="1"/>
    <col width="42" bestFit="1" customWidth="1" style="1036" min="2" max="2"/>
    <col width="13.6640625" customWidth="1" style="1036" min="3" max="3"/>
    <col width="12" bestFit="1" customWidth="1" style="1036" min="4" max="4"/>
    <col width="10.83203125" customWidth="1" style="1036" min="5" max="16384"/>
  </cols>
  <sheetData>
    <row r="3">
      <c r="B3" s="1037" t="inlineStr">
        <is>
          <t>Número de dependientes</t>
        </is>
      </c>
      <c r="C3" s="1038" t="n">
        <v>0</v>
      </c>
      <c r="D3" s="1039" t="inlineStr">
        <is>
          <t>Sólo digite el número de dependientes</t>
        </is>
      </c>
    </row>
    <row r="4" ht="15" customHeight="1">
      <c r="B4" s="1037" t="inlineStr">
        <is>
          <t>Deducción adicional individual por dependiente</t>
        </is>
      </c>
      <c r="C4" s="1040" t="n">
        <v>3585528</v>
      </c>
    </row>
    <row r="5" ht="15" customHeight="1">
      <c r="C5" s="1041" t="n"/>
    </row>
    <row r="6" ht="15" customHeight="1">
      <c r="B6" s="1042" t="inlineStr">
        <is>
          <t>Nombre del dependiente económico</t>
        </is>
      </c>
      <c r="C6" s="1043" t="inlineStr">
        <is>
          <t>Deducción</t>
        </is>
      </c>
    </row>
    <row r="7" ht="15" customHeight="1">
      <c r="B7" s="1037" t="n"/>
      <c r="C7" s="1040">
        <f t="array" ref="C7">_xlfn.IFS(C3=1,C4,C3=2,C4,C3=3,C4,C3=4,C4,C3=0,0)</f>
        <v/>
      </c>
    </row>
    <row r="8" ht="15" customHeight="1">
      <c r="B8" s="1037" t="n"/>
      <c r="C8" s="1040">
        <f t="array" ref="C8">0+_xlfn.IFS(C3=2,C4,C3=3,C4,C3=4,C4,C3=1,0,C3=0,0)</f>
        <v/>
      </c>
    </row>
    <row r="9" ht="15" customHeight="1">
      <c r="B9" s="1037" t="n"/>
      <c r="C9" s="1040">
        <f t="array" ref="C9">0+_xlfn.IFS(C3=1,0,C3=2,0,C3=3,C4,C3=4,C4,C3=0,0)</f>
        <v/>
      </c>
    </row>
    <row r="10" ht="15" customHeight="1">
      <c r="B10" s="1037" t="n"/>
      <c r="C10" s="1040">
        <f t="array" ref="C10">0+_xlfn.IFS(C3=1,0,C3=2,0,C3=3,0,C3=4,C4,C3=0,0)</f>
        <v/>
      </c>
    </row>
    <row r="11" ht="15" customHeight="1">
      <c r="B11" s="1044" t="inlineStr">
        <is>
          <t>Total Duducción Adicional</t>
        </is>
      </c>
      <c r="C11" s="1045">
        <f>ROUND(SUM(C7:C10),-3)</f>
        <v/>
      </c>
    </row>
    <row r="12" ht="15" customHeight="1">
      <c r="D12" s="1046" t="n">
        <v>3585528</v>
      </c>
    </row>
    <row r="14">
      <c r="B14" s="771" t="inlineStr">
        <is>
          <t>La deducción por dependientes a que se refieren el inciso 2 del numeral 3 del artículo 336 y la del artículo 387 del Estatuto Tributario aplican únicamente a los ingresos provenientes de rentas de trabajo y un mismo dependiente solo dará lugar a una de estas dos deducciones, excepto cuando se tenga rentas provenientes de una relación laboral y legal o reglamentaria: caso en el cual se podrá aplicar ambas deducciones por un mismo dependiente."</t>
        </is>
      </c>
      <c r="C14" s="959" t="n"/>
    </row>
    <row r="15">
      <c r="B15" s="961" t="n"/>
      <c r="C15" s="962" t="n"/>
    </row>
    <row r="16">
      <c r="B16" s="961" t="n"/>
      <c r="C16" s="962" t="n"/>
    </row>
    <row r="17">
      <c r="B17" s="961" t="n"/>
      <c r="C17" s="962" t="n"/>
    </row>
    <row r="18">
      <c r="B18" s="961" t="n"/>
      <c r="C18" s="962" t="n"/>
    </row>
    <row r="19">
      <c r="B19" s="963" t="n"/>
      <c r="C19" s="965" t="n"/>
    </row>
  </sheetData>
  <mergeCells count="1">
    <mergeCell ref="B14:C19"/>
  </mergeCells>
  <pageMargins left="0.7" right="0.7" top="0.75" bottom="0.75" header="0.3" footer="0.3"/>
</worksheet>
</file>

<file path=xl/worksheets/sheet13.xml><?xml version="1.0" encoding="utf-8"?>
<worksheet xmlns="http://schemas.openxmlformats.org/spreadsheetml/2006/main">
  <sheetPr>
    <tabColor theme="4"/>
    <outlinePr summaryBelow="1" summaryRight="1"/>
    <pageSetUpPr/>
  </sheetPr>
  <dimension ref="B2:K29"/>
  <sheetViews>
    <sheetView showGridLines="0" zoomScale="170" zoomScaleNormal="170" workbookViewId="0">
      <selection activeCell="D4" sqref="D4"/>
    </sheetView>
  </sheetViews>
  <sheetFormatPr baseColWidth="10" defaultRowHeight="15"/>
  <cols>
    <col width="5.1640625" customWidth="1" style="976" min="1" max="1"/>
    <col width="14.33203125" customWidth="1" style="976" min="2" max="2"/>
    <col width="27" customWidth="1" style="976" min="3" max="3"/>
    <col width="20" customWidth="1" style="976" min="4" max="4"/>
    <col width="10.83203125" customWidth="1" style="976" min="5" max="7"/>
    <col width="13" bestFit="1" customWidth="1" style="976" min="8" max="8"/>
    <col width="14.1640625" customWidth="1" style="976" min="9" max="9"/>
    <col width="13.83203125" customWidth="1" style="976" min="10" max="10"/>
    <col width="10.83203125" customWidth="1" style="976" min="11" max="16384"/>
  </cols>
  <sheetData>
    <row r="2" ht="15" customHeight="1">
      <c r="B2" s="1047" t="inlineStr">
        <is>
          <t>No factura</t>
        </is>
      </c>
      <c r="C2" s="1047" t="inlineStr">
        <is>
          <t>Valor factura incluido  IVA</t>
        </is>
      </c>
      <c r="D2" s="1047" t="inlineStr">
        <is>
          <t>Derecho deducción.</t>
        </is>
      </c>
      <c r="E2" s="773" t="inlineStr">
        <is>
          <t>5. Las personas naturales que declaren ingresos de la cédula general a los que se refiere el artículo 335 de este Estatuto, que adquieran bienes y/o servicios, podrán solicitar como deducción en el impuesto sobre la renta, independientemente que tenga o no relación de causalidad con la actividad productora de renta del contribuyente, el uno por ciento (1%) del valor de las adquisiciones, sin que exceda doscientas cuarenta (240) UVT en el respectivo año gravable, siempre que se cumpla con los siguientes requisitos:
5.1. Que la adquisición del bien y/o del servicio no haya sido solicitada como costo o deducción en el impuesto sobre la renta, impuesto descontable en el impuesto sobre las ventas -IVA, ingreso no constitutivo de renta ni ganancia ocasional, renta exenta, descuento tributario u otro tipo de beneficio o crédito fiscal.
5.2. Que la adquisición del bien y/o del servicio esté soportada con factura electrónica de venta con validación previa, en donde se identifique el adquirente con nombres y apellidos y el número de identificación tributaria -NIT o número de documento de identificación, y con el cumplimiento de todos los demás requisitos exigibles para este sistema de facturación.
5.3. Que la factura electrónica de venta se encuentre pagada a través de tarjeta débito/crédito o cualquier medio electrónico en el cual intervenga una entidad vigilada por la Superintendencia Financiera o quien haga sus veces dentro del periodo gravable en el cual se solicita la deducción de que trata el presente numeral.
5.4. Que la factura electrónica de venta haya sido expedida por sujetos obligados a expedirla.</t>
        </is>
      </c>
      <c r="F2" s="958" t="n"/>
      <c r="G2" s="958" t="n"/>
      <c r="H2" s="958" t="n"/>
      <c r="I2" s="958" t="n"/>
      <c r="J2" s="958" t="n"/>
      <c r="K2" s="959" t="n"/>
    </row>
    <row r="3">
      <c r="B3" s="1048" t="n"/>
      <c r="C3" s="355" t="n"/>
      <c r="D3" s="356">
        <f>C3*1%</f>
        <v/>
      </c>
      <c r="E3" s="961" t="n"/>
      <c r="K3" s="962" t="n"/>
    </row>
    <row r="4">
      <c r="B4" s="1048" t="n"/>
      <c r="C4" s="356" t="n"/>
      <c r="D4" s="356">
        <f>C4*1%</f>
        <v/>
      </c>
      <c r="E4" s="961" t="n"/>
      <c r="K4" s="962" t="n"/>
    </row>
    <row r="5">
      <c r="B5" s="1048" t="n"/>
      <c r="C5" s="355" t="n"/>
      <c r="D5" s="356">
        <f>C5*1%</f>
        <v/>
      </c>
      <c r="E5" s="961" t="n"/>
      <c r="K5" s="962" t="n"/>
    </row>
    <row r="6">
      <c r="B6" s="1048" t="n"/>
      <c r="C6" s="355" t="n"/>
      <c r="D6" s="356">
        <f>C6*1%</f>
        <v/>
      </c>
      <c r="E6" s="961" t="n"/>
      <c r="K6" s="962" t="n"/>
    </row>
    <row r="7">
      <c r="B7" s="1048" t="n"/>
      <c r="C7" s="355" t="n"/>
      <c r="D7" s="356">
        <f>C7*1%</f>
        <v/>
      </c>
      <c r="E7" s="961" t="n"/>
      <c r="K7" s="962" t="n"/>
    </row>
    <row r="8">
      <c r="B8" s="1048" t="n"/>
      <c r="C8" s="355" t="n"/>
      <c r="D8" s="356">
        <f>C8*1%</f>
        <v/>
      </c>
      <c r="E8" s="961" t="n"/>
      <c r="K8" s="962" t="n"/>
    </row>
    <row r="9">
      <c r="B9" s="1048" t="n"/>
      <c r="C9" s="355" t="n"/>
      <c r="D9" s="356">
        <f>C9*1%</f>
        <v/>
      </c>
      <c r="E9" s="961" t="n"/>
      <c r="K9" s="962" t="n"/>
    </row>
    <row r="10">
      <c r="B10" s="1048" t="n"/>
      <c r="C10" s="355" t="n"/>
      <c r="D10" s="356">
        <f>C10*1%</f>
        <v/>
      </c>
      <c r="E10" s="961" t="n"/>
      <c r="K10" s="962" t="n"/>
    </row>
    <row r="11">
      <c r="B11" s="1048" t="n"/>
      <c r="C11" s="355" t="n"/>
      <c r="D11" s="356">
        <f>C11*1%</f>
        <v/>
      </c>
      <c r="E11" s="961" t="n"/>
      <c r="K11" s="962" t="n"/>
    </row>
    <row r="12">
      <c r="B12" s="1048" t="n"/>
      <c r="C12" s="355" t="n"/>
      <c r="D12" s="356">
        <f>C12*1%</f>
        <v/>
      </c>
      <c r="E12" s="961" t="n"/>
      <c r="K12" s="962" t="n"/>
    </row>
    <row r="13">
      <c r="B13" s="1048" t="n"/>
      <c r="C13" s="355" t="n"/>
      <c r="D13" s="356">
        <f>C13*1%</f>
        <v/>
      </c>
      <c r="E13" s="961" t="n"/>
      <c r="K13" s="962" t="n"/>
    </row>
    <row r="14">
      <c r="B14" s="1048" t="n"/>
      <c r="C14" s="355" t="n"/>
      <c r="D14" s="356">
        <f>C14*1%</f>
        <v/>
      </c>
      <c r="E14" s="961" t="n"/>
      <c r="K14" s="962" t="n"/>
    </row>
    <row r="15">
      <c r="B15" s="1048" t="n"/>
      <c r="C15" s="355" t="n"/>
      <c r="D15" s="356">
        <f>C15*1%</f>
        <v/>
      </c>
      <c r="E15" s="961" t="n"/>
      <c r="K15" s="962" t="n"/>
    </row>
    <row r="16">
      <c r="B16" s="1048" t="n"/>
      <c r="C16" s="355" t="n"/>
      <c r="D16" s="356">
        <f>C16*1%</f>
        <v/>
      </c>
      <c r="E16" s="961" t="n"/>
      <c r="K16" s="962" t="n"/>
    </row>
    <row r="17">
      <c r="B17" s="1048" t="n"/>
      <c r="C17" s="355" t="n"/>
      <c r="D17" s="356">
        <f>C17*1%</f>
        <v/>
      </c>
      <c r="E17" s="961" t="n"/>
      <c r="K17" s="962" t="n"/>
    </row>
    <row r="18">
      <c r="B18" s="1048" t="n"/>
      <c r="C18" s="355" t="n"/>
      <c r="D18" s="356">
        <f>C18*1%</f>
        <v/>
      </c>
      <c r="E18" s="961" t="n"/>
      <c r="K18" s="962" t="n"/>
    </row>
    <row r="19">
      <c r="B19" s="1048" t="n"/>
      <c r="C19" s="355" t="n"/>
      <c r="D19" s="356">
        <f>C19*1%</f>
        <v/>
      </c>
      <c r="E19" s="961" t="n"/>
      <c r="K19" s="962" t="n"/>
    </row>
    <row r="20">
      <c r="B20" s="1048" t="n"/>
      <c r="C20" s="355" t="n"/>
      <c r="D20" s="356">
        <f>C20*1%</f>
        <v/>
      </c>
      <c r="E20" s="961" t="n"/>
      <c r="K20" s="962" t="n"/>
    </row>
    <row r="21">
      <c r="B21" s="1048" t="n"/>
      <c r="C21" s="355" t="n"/>
      <c r="D21" s="356">
        <f>C21*1%</f>
        <v/>
      </c>
      <c r="E21" s="961" t="n"/>
      <c r="K21" s="962" t="n"/>
    </row>
    <row r="22">
      <c r="B22" s="1048" t="n"/>
      <c r="C22" s="355" t="n"/>
      <c r="D22" s="356">
        <f>C22*1%</f>
        <v/>
      </c>
      <c r="E22" s="961" t="n"/>
      <c r="K22" s="962" t="n"/>
    </row>
    <row r="23">
      <c r="B23" s="1048" t="n"/>
      <c r="C23" s="355" t="n"/>
      <c r="D23" s="356">
        <f>C23*1%</f>
        <v/>
      </c>
      <c r="E23" s="961" t="n"/>
      <c r="K23" s="962" t="n"/>
    </row>
    <row r="24">
      <c r="B24" s="1048" t="n"/>
      <c r="C24" s="355" t="n"/>
      <c r="D24" s="356">
        <f>C24*1%</f>
        <v/>
      </c>
      <c r="E24" s="961" t="n"/>
      <c r="K24" s="962" t="n"/>
    </row>
    <row r="25">
      <c r="B25" s="1048" t="n"/>
      <c r="C25" s="355" t="n"/>
      <c r="D25" s="356">
        <f>C25*1%</f>
        <v/>
      </c>
      <c r="E25" s="961" t="n"/>
      <c r="K25" s="962" t="n"/>
    </row>
    <row r="26">
      <c r="B26" s="1048" t="n"/>
      <c r="C26" s="355" t="n"/>
      <c r="D26" s="356">
        <f>C26*1%</f>
        <v/>
      </c>
      <c r="E26" s="961" t="n"/>
      <c r="K26" s="962" t="n"/>
    </row>
    <row r="27">
      <c r="B27" s="1049" t="inlineStr">
        <is>
          <t>TOTAL 1% COMPRAS REALIZADAS</t>
        </is>
      </c>
      <c r="C27" s="967" t="n"/>
      <c r="D27" s="1050">
        <f>SUM(D3:D26)</f>
        <v/>
      </c>
      <c r="E27" s="961" t="n"/>
      <c r="K27" s="962" t="n"/>
    </row>
    <row r="28">
      <c r="B28" s="1049" t="inlineStr">
        <is>
          <t>LÍMITE (Art 336 Numeral 5 - 240 UVT)</t>
        </is>
      </c>
      <c r="C28" s="967" t="n"/>
      <c r="D28" s="1051">
        <f>(240*49065)</f>
        <v/>
      </c>
      <c r="E28" s="961" t="n"/>
      <c r="K28" s="962" t="n"/>
    </row>
    <row r="29">
      <c r="B29" s="1049" t="inlineStr">
        <is>
          <t>Deducción a tomar</t>
        </is>
      </c>
      <c r="C29" s="967" t="n"/>
      <c r="D29" s="1051">
        <f>MIN(D27:D28)</f>
        <v/>
      </c>
      <c r="E29" s="963" t="n"/>
      <c r="F29" s="964" t="n"/>
      <c r="G29" s="964" t="n"/>
      <c r="H29" s="964" t="n"/>
      <c r="I29" s="964" t="n"/>
      <c r="J29" s="964" t="n"/>
      <c r="K29" s="965" t="n"/>
    </row>
  </sheetData>
  <mergeCells count="4">
    <mergeCell ref="B27:C27"/>
    <mergeCell ref="E2:K29"/>
    <mergeCell ref="B29:C29"/>
    <mergeCell ref="B28:C28"/>
  </mergeCells>
  <pageMargins left="0.7" right="0.7" top="0.75" bottom="0.75" header="0.3" footer="0.3"/>
</worksheet>
</file>

<file path=xl/worksheets/sheet14.xml><?xml version="1.0" encoding="utf-8"?>
<worksheet xmlns="http://schemas.openxmlformats.org/spreadsheetml/2006/main">
  <sheetPr codeName="Hoja7">
    <tabColor rgb="FF0070C0"/>
    <outlinePr summaryBelow="1" summaryRight="1"/>
    <pageSetUpPr/>
  </sheetPr>
  <dimension ref="B1:H68"/>
  <sheetViews>
    <sheetView showGridLines="0" zoomScale="160" zoomScaleNormal="160" zoomScaleSheetLayoutView="145" workbookViewId="0">
      <pane ySplit="1" topLeftCell="A49" activePane="bottomLeft" state="frozen"/>
      <selection pane="bottomLeft" activeCell="C48" sqref="C48:E48"/>
    </sheetView>
  </sheetViews>
  <sheetFormatPr baseColWidth="10" defaultColWidth="0" defaultRowHeight="16" zeroHeight="1"/>
  <cols>
    <col width="6" customWidth="1" style="38" min="1" max="1"/>
    <col width="3.5" customWidth="1" style="128" min="2" max="2"/>
    <col width="38.1640625" customWidth="1" style="72" min="3" max="3"/>
    <col width="13.83203125" customWidth="1" style="72" min="4" max="4"/>
    <col width="14.5" bestFit="1" customWidth="1" style="72" min="5" max="5"/>
    <col width="19" customWidth="1" style="72" min="6" max="6"/>
    <col width="15.5" bestFit="1" customWidth="1" style="75" min="7" max="7"/>
    <col width="27.5" customWidth="1" style="38" min="8" max="8"/>
    <col hidden="1" width="12.5" customWidth="1" style="38" min="9" max="9"/>
    <col hidden="1" width="11.5" customWidth="1" style="38" min="10" max="16384"/>
  </cols>
  <sheetData>
    <row r="1">
      <c r="B1" s="1052" t="inlineStr">
        <is>
          <t>RENTAS DE CAPITAL</t>
        </is>
      </c>
      <c r="C1" s="964" t="n"/>
      <c r="D1" s="964" t="n"/>
      <c r="E1" s="964" t="n"/>
      <c r="F1" s="964" t="n"/>
      <c r="G1" s="965" t="n"/>
    </row>
    <row r="2" ht="14.25" customHeight="1">
      <c r="B2" s="729" t="inlineStr">
        <is>
          <t>Rengón 58</t>
        </is>
      </c>
      <c r="C2" s="198" t="inlineStr">
        <is>
          <t>Rendimientos financieros con componente inflacionario</t>
        </is>
      </c>
      <c r="D2" s="971" t="n"/>
      <c r="E2" s="971" t="n"/>
      <c r="F2" s="967" t="n"/>
      <c r="G2" s="791">
        <f>ROUND((F3+F13+F21+F29),-3)</f>
        <v/>
      </c>
    </row>
    <row r="3" ht="14.25" customHeight="1">
      <c r="B3" s="237" t="n"/>
      <c r="C3" s="785" t="n"/>
      <c r="D3" s="997" t="n"/>
      <c r="E3" s="200" t="n"/>
      <c r="F3" s="781">
        <f>SUM(E3:E11)</f>
        <v/>
      </c>
      <c r="G3" s="237" t="n"/>
    </row>
    <row r="4" ht="14.25" customHeight="1">
      <c r="B4" s="237" t="n"/>
      <c r="C4" s="785" t="n"/>
      <c r="D4" s="997" t="n"/>
      <c r="E4" s="200" t="n"/>
      <c r="F4" s="237" t="n"/>
      <c r="G4" s="237" t="n"/>
    </row>
    <row r="5" ht="14.25" customHeight="1">
      <c r="B5" s="237" t="n"/>
      <c r="C5" s="785" t="n"/>
      <c r="D5" s="997" t="n"/>
      <c r="E5" s="200" t="n"/>
      <c r="F5" s="237" t="n"/>
      <c r="G5" s="237" t="n"/>
    </row>
    <row r="6" ht="14.25" customHeight="1">
      <c r="B6" s="237" t="n"/>
      <c r="C6" s="785" t="n"/>
      <c r="D6" s="997" t="n"/>
      <c r="E6" s="200" t="n"/>
      <c r="F6" s="237" t="n"/>
      <c r="G6" s="237" t="n"/>
    </row>
    <row r="7" ht="14.25" customHeight="1">
      <c r="B7" s="237" t="n"/>
      <c r="C7" s="785" t="n"/>
      <c r="D7" s="997" t="n"/>
      <c r="E7" s="200" t="n"/>
      <c r="F7" s="237" t="n"/>
      <c r="G7" s="237" t="n"/>
    </row>
    <row r="8" ht="14.25" customHeight="1">
      <c r="B8" s="237" t="n"/>
      <c r="C8" s="785" t="n"/>
      <c r="D8" s="997" t="n"/>
      <c r="E8" s="200" t="n"/>
      <c r="F8" s="237" t="n"/>
      <c r="G8" s="237" t="n"/>
    </row>
    <row r="9" ht="14.25" customHeight="1">
      <c r="B9" s="237" t="n"/>
      <c r="C9" s="785" t="n"/>
      <c r="D9" s="997" t="n"/>
      <c r="E9" s="200" t="n"/>
      <c r="F9" s="237" t="n"/>
      <c r="G9" s="237" t="n"/>
    </row>
    <row r="10" ht="14.25" customHeight="1">
      <c r="B10" s="237" t="n"/>
      <c r="C10" s="785" t="n"/>
      <c r="D10" s="997" t="n"/>
      <c r="E10" s="200" t="n"/>
      <c r="F10" s="237" t="n"/>
      <c r="G10" s="237" t="n"/>
    </row>
    <row r="11" ht="14.25" customHeight="1">
      <c r="B11" s="237" t="n"/>
      <c r="C11" s="785" t="n"/>
      <c r="D11" s="997" t="n"/>
      <c r="E11" s="200" t="n"/>
      <c r="F11" s="970" t="n"/>
      <c r="G11" s="237" t="n"/>
    </row>
    <row r="12" ht="14.25" customHeight="1">
      <c r="B12" s="237" t="n"/>
      <c r="C12" s="198" t="inlineStr">
        <is>
          <t>Intereses de fuente nacional y del exterior</t>
        </is>
      </c>
      <c r="D12" s="971" t="n"/>
      <c r="E12" s="971" t="n"/>
      <c r="F12" s="967" t="n"/>
      <c r="G12" s="237" t="n"/>
    </row>
    <row r="13" ht="14.25" customHeight="1">
      <c r="B13" s="237" t="n"/>
      <c r="C13" s="785" t="n"/>
      <c r="D13" s="997" t="n"/>
      <c r="E13" s="200" t="n"/>
      <c r="F13" s="1053">
        <f>SUM(E13:E19)</f>
        <v/>
      </c>
      <c r="G13" s="237" t="n"/>
    </row>
    <row r="14" ht="14.25" customHeight="1">
      <c r="B14" s="237" t="n"/>
      <c r="C14" s="785" t="n"/>
      <c r="D14" s="997" t="n"/>
      <c r="E14" s="200" t="n"/>
      <c r="F14" s="237" t="n"/>
      <c r="G14" s="237" t="n"/>
    </row>
    <row r="15" ht="14.25" customHeight="1">
      <c r="B15" s="237" t="n"/>
      <c r="C15" s="785" t="n"/>
      <c r="D15" s="997" t="n"/>
      <c r="E15" s="200" t="n"/>
      <c r="F15" s="237" t="n"/>
      <c r="G15" s="237" t="n"/>
    </row>
    <row r="16" ht="14.25" customHeight="1">
      <c r="B16" s="237" t="n"/>
      <c r="C16" s="785" t="n"/>
      <c r="D16" s="997" t="n"/>
      <c r="E16" s="200" t="n"/>
      <c r="F16" s="237" t="n"/>
      <c r="G16" s="237" t="n"/>
    </row>
    <row r="17" ht="14.25" customHeight="1">
      <c r="B17" s="237" t="n"/>
      <c r="C17" s="785" t="n"/>
      <c r="D17" s="997" t="n"/>
      <c r="E17" s="200" t="n"/>
      <c r="F17" s="237" t="n"/>
      <c r="G17" s="237" t="n"/>
    </row>
    <row r="18" ht="14.25" customHeight="1">
      <c r="B18" s="237" t="n"/>
      <c r="C18" s="785" t="n"/>
      <c r="D18" s="997" t="n"/>
      <c r="E18" s="200" t="n"/>
      <c r="F18" s="237" t="n"/>
      <c r="G18" s="237" t="n"/>
    </row>
    <row r="19" ht="14.25" customHeight="1">
      <c r="B19" s="237" t="n"/>
      <c r="C19" s="786" t="inlineStr">
        <is>
          <t>Ingresos presuntos</t>
        </is>
      </c>
      <c r="D19" s="967" t="n"/>
      <c r="E19" s="174">
        <f>'tabl int presunt'!G18</f>
        <v/>
      </c>
      <c r="F19" s="970" t="n"/>
      <c r="G19" s="237" t="n"/>
    </row>
    <row r="20">
      <c r="B20" s="237" t="n"/>
      <c r="C20" s="198" t="inlineStr">
        <is>
          <t>Arrendamientos</t>
        </is>
      </c>
      <c r="D20" s="971" t="n"/>
      <c r="E20" s="971" t="n"/>
      <c r="F20" s="967" t="n"/>
      <c r="G20" s="237" t="n"/>
    </row>
    <row r="21" ht="15" customHeight="1">
      <c r="B21" s="237" t="n"/>
      <c r="C21" s="785" t="n"/>
      <c r="D21" s="997" t="n"/>
      <c r="E21" s="200" t="n"/>
      <c r="F21" s="1053">
        <f>SUM(E21:E27)</f>
        <v/>
      </c>
      <c r="G21" s="237" t="n"/>
    </row>
    <row r="22" ht="15" customHeight="1">
      <c r="B22" s="237" t="n"/>
      <c r="C22" s="785" t="n"/>
      <c r="D22" s="997" t="n"/>
      <c r="E22" s="200" t="n"/>
      <c r="F22" s="237" t="n"/>
      <c r="G22" s="237" t="n"/>
    </row>
    <row r="23" ht="15" customHeight="1">
      <c r="B23" s="237" t="n"/>
      <c r="C23" s="785" t="n"/>
      <c r="D23" s="997" t="n"/>
      <c r="E23" s="199" t="n"/>
      <c r="F23" s="237" t="n"/>
      <c r="G23" s="237" t="n"/>
    </row>
    <row r="24" ht="15" customHeight="1">
      <c r="B24" s="237" t="n"/>
      <c r="C24" s="785" t="n"/>
      <c r="D24" s="997" t="n"/>
      <c r="E24" s="200" t="n"/>
      <c r="F24" s="237" t="n"/>
      <c r="G24" s="237" t="n"/>
    </row>
    <row r="25" ht="15" customHeight="1">
      <c r="B25" s="237" t="n"/>
      <c r="C25" s="785" t="n"/>
      <c r="D25" s="997" t="n"/>
      <c r="E25" s="200" t="n"/>
      <c r="F25" s="237" t="n"/>
      <c r="G25" s="237" t="n"/>
    </row>
    <row r="26" ht="15" customHeight="1">
      <c r="B26" s="237" t="n"/>
      <c r="C26" s="785" t="n"/>
      <c r="D26" s="997" t="n"/>
      <c r="E26" s="200" t="n"/>
      <c r="F26" s="237" t="n"/>
      <c r="G26" s="237" t="n"/>
    </row>
    <row r="27" ht="15" customHeight="1">
      <c r="B27" s="237" t="n"/>
      <c r="C27" s="785" t="n"/>
      <c r="D27" s="997" t="n"/>
      <c r="E27" s="200" t="n"/>
      <c r="F27" s="970" t="n"/>
      <c r="G27" s="237" t="n"/>
    </row>
    <row r="28" ht="15" customHeight="1">
      <c r="B28" s="237" t="n"/>
      <c r="C28" s="198" t="inlineStr">
        <is>
          <t>Regalias y propiedad intelectual</t>
        </is>
      </c>
      <c r="D28" s="971" t="n"/>
      <c r="E28" s="971" t="n"/>
      <c r="F28" s="967" t="n"/>
      <c r="G28" s="237" t="n"/>
    </row>
    <row r="29" ht="15" customHeight="1">
      <c r="B29" s="237" t="n"/>
      <c r="C29" s="785" t="n"/>
      <c r="D29" s="997" t="n"/>
      <c r="E29" s="200" t="n"/>
      <c r="F29" s="1053">
        <f>SUM(E29:E35)</f>
        <v/>
      </c>
      <c r="G29" s="237" t="n"/>
    </row>
    <row r="30" ht="15" customHeight="1">
      <c r="B30" s="237" t="n"/>
      <c r="C30" s="785" t="n"/>
      <c r="D30" s="997" t="n"/>
      <c r="E30" s="200" t="n"/>
      <c r="F30" s="237" t="n"/>
      <c r="G30" s="237" t="n"/>
    </row>
    <row r="31" ht="15" customHeight="1">
      <c r="B31" s="237" t="n"/>
      <c r="C31" s="785" t="n"/>
      <c r="D31" s="997" t="n"/>
      <c r="E31" s="200" t="n"/>
      <c r="F31" s="237" t="n"/>
      <c r="G31" s="237" t="n"/>
    </row>
    <row r="32" ht="15" customHeight="1">
      <c r="B32" s="237" t="n"/>
      <c r="C32" s="785" t="n"/>
      <c r="D32" s="997" t="n"/>
      <c r="E32" s="200" t="n"/>
      <c r="F32" s="237" t="n"/>
      <c r="G32" s="237" t="n"/>
    </row>
    <row r="33" ht="15" customHeight="1">
      <c r="B33" s="237" t="n"/>
      <c r="C33" s="785" t="n"/>
      <c r="D33" s="997" t="n"/>
      <c r="E33" s="200" t="n"/>
      <c r="F33" s="237" t="n"/>
      <c r="G33" s="237" t="n"/>
    </row>
    <row r="34" ht="15" customHeight="1">
      <c r="B34" s="237" t="n"/>
      <c r="C34" s="785" t="n"/>
      <c r="D34" s="997" t="n"/>
      <c r="E34" s="200" t="n"/>
      <c r="F34" s="237" t="n"/>
      <c r="G34" s="237" t="n"/>
    </row>
    <row r="35" ht="15" customHeight="1">
      <c r="B35" s="237" t="n"/>
      <c r="C35" s="785" t="n"/>
      <c r="D35" s="997" t="n"/>
      <c r="E35" s="200" t="n"/>
      <c r="F35" s="970" t="n"/>
      <c r="G35" s="970" t="n"/>
    </row>
    <row r="36" ht="15.75" customHeight="1">
      <c r="B36" s="701" t="inlineStr">
        <is>
          <t>Renglón 59</t>
        </is>
      </c>
      <c r="C36" s="774" t="inlineStr">
        <is>
          <t>I.N.C.R.N.G.O.</t>
        </is>
      </c>
      <c r="D36" s="971" t="n"/>
      <c r="E36" s="971" t="n"/>
      <c r="F36" s="971" t="n"/>
      <c r="G36" s="967" t="n"/>
    </row>
    <row r="37" ht="14.25" customHeight="1">
      <c r="B37" s="237" t="n"/>
      <c r="C37" s="702" t="inlineStr">
        <is>
          <t>Aporte obligatorio a pensión</t>
        </is>
      </c>
      <c r="D37" s="996" t="n"/>
      <c r="E37" s="997" t="n"/>
      <c r="F37" s="199" t="n"/>
      <c r="G37" s="781">
        <f>ROUND(SUM(F37:F43),-3)</f>
        <v/>
      </c>
    </row>
    <row r="38" ht="14.25" customHeight="1">
      <c r="B38" s="237" t="n"/>
      <c r="C38" s="702" t="inlineStr">
        <is>
          <t>Aporte obligatorio a salud</t>
        </is>
      </c>
      <c r="D38" s="996" t="n"/>
      <c r="E38" s="997" t="n"/>
      <c r="F38" s="199" t="n"/>
      <c r="G38" s="237" t="n"/>
    </row>
    <row r="39">
      <c r="B39" s="237" t="n"/>
      <c r="C39" s="702" t="inlineStr">
        <is>
          <t>Aporte obligatorio a A.R.L.</t>
        </is>
      </c>
      <c r="D39" s="996" t="n"/>
      <c r="E39" s="997" t="n"/>
      <c r="F39" s="200" t="n"/>
      <c r="G39" s="237" t="n"/>
    </row>
    <row r="40">
      <c r="B40" s="237" t="n"/>
      <c r="C40" s="703" t="inlineStr">
        <is>
          <t>Aporte voluntario a fondo obligatorio - RAIS</t>
        </is>
      </c>
      <c r="D40" s="996" t="n"/>
      <c r="E40" s="200" t="n"/>
      <c r="F40" s="66">
        <f>Sheet1!W15</f>
        <v/>
      </c>
      <c r="G40" s="237" t="n"/>
    </row>
    <row r="41" ht="15.75" customHeight="1">
      <c r="B41" s="237" t="n"/>
      <c r="C41" s="785" t="inlineStr">
        <is>
          <t>Componente inflacionario</t>
        </is>
      </c>
      <c r="D41" s="996" t="n"/>
      <c r="E41" s="997" t="n"/>
      <c r="F41" s="426">
        <f>F3*55.43%</f>
        <v/>
      </c>
      <c r="G41" s="237" t="n"/>
    </row>
    <row r="42">
      <c r="B42" s="237" t="n"/>
      <c r="C42" s="785" t="n"/>
      <c r="D42" s="996" t="n"/>
      <c r="E42" s="997" t="n"/>
      <c r="F42" s="200" t="n"/>
      <c r="G42" s="237" t="n"/>
    </row>
    <row r="43">
      <c r="B43" s="970" t="n"/>
      <c r="C43" s="785" t="n"/>
      <c r="D43" s="996" t="n"/>
      <c r="E43" s="997" t="n"/>
      <c r="F43" s="200" t="n"/>
      <c r="G43" s="970" t="n"/>
    </row>
    <row r="44" ht="15" customHeight="1">
      <c r="B44" s="701" t="inlineStr">
        <is>
          <t>Renglón 60</t>
        </is>
      </c>
      <c r="C44" s="774" t="inlineStr">
        <is>
          <t>Costos y gastos procedentes</t>
        </is>
      </c>
      <c r="D44" s="971" t="n"/>
      <c r="E44" s="971" t="n"/>
      <c r="F44" s="971" t="n"/>
      <c r="G44" s="967" t="n"/>
    </row>
    <row r="45">
      <c r="B45" s="237" t="n"/>
      <c r="C45" s="785" t="n"/>
      <c r="D45" s="996" t="n"/>
      <c r="E45" s="997" t="n"/>
      <c r="F45" s="199" t="n"/>
      <c r="G45" s="781">
        <f>ROUND(SUM(F45:F51),-3)</f>
        <v/>
      </c>
    </row>
    <row r="46">
      <c r="B46" s="237" t="n"/>
      <c r="C46" s="785" t="n"/>
      <c r="D46" s="996" t="n"/>
      <c r="E46" s="997" t="n"/>
      <c r="F46" s="199" t="n"/>
      <c r="G46" s="237" t="n"/>
    </row>
    <row r="47">
      <c r="B47" s="237" t="n"/>
      <c r="C47" s="785" t="n"/>
      <c r="D47" s="996" t="n"/>
      <c r="E47" s="997" t="n"/>
      <c r="F47" s="199" t="n"/>
      <c r="G47" s="237" t="n"/>
    </row>
    <row r="48">
      <c r="B48" s="237" t="n"/>
      <c r="C48" s="785" t="n"/>
      <c r="D48" s="996" t="n"/>
      <c r="E48" s="997" t="n"/>
      <c r="F48" s="199" t="n"/>
      <c r="G48" s="237" t="n"/>
    </row>
    <row r="49">
      <c r="B49" s="237" t="n"/>
      <c r="C49" s="785" t="n"/>
      <c r="D49" s="996" t="n"/>
      <c r="E49" s="997" t="n"/>
      <c r="F49" s="199" t="n"/>
      <c r="G49" s="237" t="n"/>
    </row>
    <row r="50">
      <c r="B50" s="237" t="n"/>
      <c r="C50" s="785" t="n"/>
      <c r="D50" s="996" t="n"/>
      <c r="E50" s="997" t="n"/>
      <c r="F50" s="200" t="n"/>
      <c r="G50" s="237" t="n"/>
    </row>
    <row r="51">
      <c r="B51" s="970" t="n"/>
      <c r="C51" s="785" t="n"/>
      <c r="D51" s="996" t="n"/>
      <c r="E51" s="997" t="n"/>
      <c r="F51" s="200" t="n"/>
      <c r="G51" s="970" t="n"/>
    </row>
    <row r="52" ht="15" customHeight="1">
      <c r="B52" s="217" t="n"/>
      <c r="C52" s="736" t="inlineStr">
        <is>
          <t>Rentas exentas y deducciones</t>
        </is>
      </c>
      <c r="D52" s="971" t="n"/>
      <c r="E52" s="971" t="n"/>
      <c r="F52" s="971" t="n"/>
      <c r="G52" s="967" t="n"/>
    </row>
    <row r="53" ht="15" customHeight="1">
      <c r="B53" s="701" t="inlineStr">
        <is>
          <t>R.63</t>
        </is>
      </c>
      <c r="C53" s="1054" t="inlineStr">
        <is>
          <t>Aporte voluntario a pensión</t>
        </is>
      </c>
      <c r="D53" s="1055" t="n"/>
      <c r="E53" s="200" t="n"/>
      <c r="F53" s="65">
        <f>Sheet1!S24</f>
        <v/>
      </c>
      <c r="G53" s="737">
        <f>SUM(F55:F57)</f>
        <v/>
      </c>
    </row>
    <row r="54" ht="15" customHeight="1">
      <c r="B54" s="970" t="n"/>
      <c r="C54" s="702" t="inlineStr">
        <is>
          <t>Ahorro en cuenta AFC y/o AVC</t>
        </is>
      </c>
      <c r="D54" s="997" t="n"/>
      <c r="E54" s="200" t="n"/>
      <c r="F54" s="970" t="n"/>
      <c r="G54" s="237" t="n"/>
    </row>
    <row r="55" ht="30" customHeight="1">
      <c r="B55" s="243" t="inlineStr">
        <is>
          <t>R. 66</t>
        </is>
      </c>
      <c r="C55" s="702" t="inlineStr">
        <is>
          <t>Intereses por prestamos de vivienda</t>
        </is>
      </c>
      <c r="D55" s="997" t="n"/>
      <c r="E55" s="200" t="n">
        <v>0</v>
      </c>
      <c r="F55" s="65">
        <f>IF(E55&gt;(1200*G68),(1200*G68),E55)</f>
        <v/>
      </c>
      <c r="G55" s="237" t="n"/>
    </row>
    <row r="56" ht="15" customHeight="1">
      <c r="B56" s="701" t="inlineStr">
        <is>
          <t>R.67</t>
        </is>
      </c>
      <c r="C56" s="702" t="inlineStr">
        <is>
          <t>G.M.F.</t>
        </is>
      </c>
      <c r="D56" s="997" t="n"/>
      <c r="E56" s="200" t="n"/>
      <c r="F56" s="65">
        <f>E56*50%</f>
        <v/>
      </c>
      <c r="G56" s="237" t="n"/>
    </row>
    <row r="57" ht="15" customHeight="1">
      <c r="B57" s="970" t="n"/>
      <c r="C57" s="702" t="inlineStr">
        <is>
          <t>Aportes voluntarios a fondos de cesantias</t>
        </is>
      </c>
      <c r="D57" s="997" t="n"/>
      <c r="E57" s="200" t="n"/>
      <c r="F57" s="65">
        <f>IF(E57&gt;Sheet1!K33,Sheet1!K33,E57)</f>
        <v/>
      </c>
      <c r="G57" s="237" t="n"/>
    </row>
    <row r="58">
      <c r="B58" s="789" t="inlineStr">
        <is>
          <t>Renglón 62</t>
        </is>
      </c>
      <c r="C58" s="774" t="inlineStr">
        <is>
          <t>Rentas líquidas pasivas de capital</t>
        </is>
      </c>
      <c r="D58" s="971" t="n"/>
      <c r="E58" s="971" t="n"/>
      <c r="F58" s="971" t="n"/>
      <c r="G58" s="967" t="n"/>
    </row>
    <row r="59">
      <c r="B59" s="1056" t="n"/>
      <c r="C59" s="785" t="n"/>
      <c r="D59" s="996" t="n"/>
      <c r="E59" s="997" t="n"/>
      <c r="F59" s="200" t="n"/>
      <c r="G59" s="781">
        <f>ROUND(SUM(F59:F63),-3)</f>
        <v/>
      </c>
    </row>
    <row r="60">
      <c r="B60" s="1056" t="n"/>
      <c r="C60" s="785" t="n"/>
      <c r="D60" s="996" t="n"/>
      <c r="E60" s="997" t="n"/>
      <c r="F60" s="200" t="n"/>
      <c r="G60" s="237" t="n"/>
    </row>
    <row r="61">
      <c r="B61" s="1056" t="n"/>
      <c r="C61" s="785" t="n"/>
      <c r="D61" s="996" t="n"/>
      <c r="E61" s="997" t="n"/>
      <c r="F61" s="200" t="n"/>
      <c r="G61" s="237" t="n"/>
    </row>
    <row r="62">
      <c r="B62" s="1056" t="n"/>
      <c r="C62" s="785" t="n"/>
      <c r="D62" s="996" t="n"/>
      <c r="E62" s="997" t="n"/>
      <c r="F62" s="200" t="n"/>
      <c r="G62" s="237" t="n"/>
    </row>
    <row r="63">
      <c r="B63" s="1056" t="n"/>
      <c r="C63" s="785" t="n"/>
      <c r="D63" s="996" t="n"/>
      <c r="E63" s="997" t="n"/>
      <c r="F63" s="200" t="n"/>
      <c r="G63" s="970" t="n"/>
    </row>
    <row r="64" ht="14" customHeight="1">
      <c r="C64" s="128" t="n"/>
      <c r="D64" s="128" t="n"/>
      <c r="E64" s="128" t="n"/>
      <c r="F64" s="128" t="n"/>
      <c r="G64" s="128" t="n"/>
      <c r="H64" s="128" t="n"/>
    </row>
    <row r="65">
      <c r="B65" s="701" t="inlineStr">
        <is>
          <t>R. 72</t>
        </is>
      </c>
      <c r="C65" s="774" t="inlineStr">
        <is>
          <t>Compensaciones por pérdidas</t>
        </is>
      </c>
      <c r="D65" s="971" t="n"/>
      <c r="E65" s="971" t="n"/>
      <c r="F65" s="971" t="n"/>
      <c r="G65" s="967" t="n"/>
      <c r="H65" s="128" t="n"/>
    </row>
    <row r="66">
      <c r="B66" s="970" t="n"/>
      <c r="C66" s="702" t="inlineStr">
        <is>
          <t>Compensación de perdidas</t>
        </is>
      </c>
      <c r="D66" s="996" t="n"/>
      <c r="E66" s="997" t="n"/>
      <c r="F66" s="200" t="n"/>
      <c r="G66" s="202">
        <f>F66</f>
        <v/>
      </c>
      <c r="H66" s="128" t="n"/>
    </row>
    <row r="67" ht="14" customHeight="1">
      <c r="C67" s="128" t="n"/>
      <c r="D67" s="128" t="n"/>
      <c r="E67" s="128" t="n"/>
      <c r="F67" s="128" t="n"/>
      <c r="G67" s="128" t="n"/>
      <c r="H67" s="128" t="n"/>
    </row>
    <row r="68">
      <c r="C68" s="797" t="inlineStr">
        <is>
          <t>Valor UVT</t>
        </is>
      </c>
      <c r="D68" s="996" t="n"/>
      <c r="E68" s="996" t="n"/>
      <c r="F68" s="997" t="n"/>
      <c r="G68" s="157">
        <f>'R.trabajo y honorarios'!H74</f>
        <v/>
      </c>
    </row>
  </sheetData>
  <mergeCells count="83">
    <mergeCell ref="F53:F54"/>
    <mergeCell ref="F21:F27"/>
    <mergeCell ref="C6:D6"/>
    <mergeCell ref="C15:D15"/>
    <mergeCell ref="C58:G58"/>
    <mergeCell ref="G37:G43"/>
    <mergeCell ref="C51:E51"/>
    <mergeCell ref="C60:E60"/>
    <mergeCell ref="G45:G51"/>
    <mergeCell ref="C54:D54"/>
    <mergeCell ref="C65:G65"/>
    <mergeCell ref="C44:G44"/>
    <mergeCell ref="C56:D56"/>
    <mergeCell ref="F29:F35"/>
    <mergeCell ref="C27:D27"/>
    <mergeCell ref="B44:B51"/>
    <mergeCell ref="C49:E49"/>
    <mergeCell ref="C17:D17"/>
    <mergeCell ref="C42:E42"/>
    <mergeCell ref="C19:D19"/>
    <mergeCell ref="B56:B57"/>
    <mergeCell ref="F3:F11"/>
    <mergeCell ref="C2:F2"/>
    <mergeCell ref="C3:D3"/>
    <mergeCell ref="G53:G57"/>
    <mergeCell ref="C30:D30"/>
    <mergeCell ref="C5:D5"/>
    <mergeCell ref="B1:G1"/>
    <mergeCell ref="C14:D14"/>
    <mergeCell ref="C59:E59"/>
    <mergeCell ref="C28:F28"/>
    <mergeCell ref="C46:E46"/>
    <mergeCell ref="C4:D4"/>
    <mergeCell ref="B58:B63"/>
    <mergeCell ref="C61:E61"/>
    <mergeCell ref="C39:E39"/>
    <mergeCell ref="C48:E48"/>
    <mergeCell ref="C40:D40"/>
    <mergeCell ref="B53:B54"/>
    <mergeCell ref="C38:E38"/>
    <mergeCell ref="B2:B35"/>
    <mergeCell ref="C8:D8"/>
    <mergeCell ref="C57:D57"/>
    <mergeCell ref="C18:D18"/>
    <mergeCell ref="C53:D53"/>
    <mergeCell ref="B36:B43"/>
    <mergeCell ref="C63:E63"/>
    <mergeCell ref="C34:D34"/>
    <mergeCell ref="C50:E50"/>
    <mergeCell ref="F13:F19"/>
    <mergeCell ref="C29:D29"/>
    <mergeCell ref="C68:F68"/>
    <mergeCell ref="C22:D22"/>
    <mergeCell ref="G2:G35"/>
    <mergeCell ref="C31:D31"/>
    <mergeCell ref="C21:D21"/>
    <mergeCell ref="C37:E37"/>
    <mergeCell ref="C20:F20"/>
    <mergeCell ref="C23:D23"/>
    <mergeCell ref="C52:G52"/>
    <mergeCell ref="C62:E62"/>
    <mergeCell ref="C32:D32"/>
    <mergeCell ref="C7:D7"/>
    <mergeCell ref="C12:F12"/>
    <mergeCell ref="C24:D24"/>
    <mergeCell ref="C41:E41"/>
    <mergeCell ref="C33:D33"/>
    <mergeCell ref="C26:D26"/>
    <mergeCell ref="C43:E43"/>
    <mergeCell ref="C35:D35"/>
    <mergeCell ref="C10:D10"/>
    <mergeCell ref="C16:D16"/>
    <mergeCell ref="C25:D25"/>
    <mergeCell ref="C55:D55"/>
    <mergeCell ref="C9:D9"/>
    <mergeCell ref="G59:G63"/>
    <mergeCell ref="C66:E66"/>
    <mergeCell ref="B65:B66"/>
    <mergeCell ref="C11:D11"/>
    <mergeCell ref="C36:G36"/>
    <mergeCell ref="C45:E45"/>
    <mergeCell ref="C13:D13"/>
    <mergeCell ref="C47:E47"/>
  </mergeCells>
  <hyperlinks>
    <hyperlink ref="B2" location="'FORMULARIO 210'!S16" display="Rengón 58"/>
    <hyperlink ref="E19" location="'tabl int presunt'!G18" display="'tabl int presunt'!G18"/>
    <hyperlink ref="B36" location="'FORMULARIO 210'!S18" display="Renglón 59"/>
    <hyperlink ref="B44" location="'FORMULARIO 210'!S19" display="Renglón 60"/>
    <hyperlink ref="B53" location="'FORMULARIO 210'!S22" display="R.63"/>
    <hyperlink ref="B55" location="'FORMULARIO 210'!S25" display="R. 66"/>
    <hyperlink ref="B56" location="'FORMULARIO 210'!S26" display="R.67"/>
    <hyperlink ref="B58" location="'FORMULARIO 210'!S21" display="Renglón 62"/>
    <hyperlink ref="B65" location="'FORMULARIO 210'!S31" display="R. 72"/>
  </hyperlinks>
  <pageMargins left="0.7" right="0.7" top="0.75" bottom="0.75" header="0.3" footer="0.3"/>
  <pageSetup orientation="portrait" scale="65"/>
  <legacyDrawing xmlns:r="http://schemas.openxmlformats.org/officeDocument/2006/relationships" r:id="anysvml"/>
</worksheet>
</file>

<file path=xl/worksheets/sheet15.xml><?xml version="1.0" encoding="utf-8"?>
<worksheet xmlns="http://schemas.openxmlformats.org/spreadsheetml/2006/main">
  <sheetPr codeName="Hoja8">
    <tabColor rgb="FF0070C0"/>
    <outlinePr summaryBelow="1" summaryRight="1"/>
    <pageSetUpPr/>
  </sheetPr>
  <dimension ref="B1:I18"/>
  <sheetViews>
    <sheetView showGridLines="0" topLeftCell="A3" zoomScale="190" zoomScaleNormal="190" zoomScaleSheetLayoutView="110" workbookViewId="0">
      <selection activeCell="G18" sqref="G18"/>
    </sheetView>
  </sheetViews>
  <sheetFormatPr baseColWidth="10" defaultColWidth="0" defaultRowHeight="16" zeroHeight="1"/>
  <cols>
    <col width="7.33203125" customWidth="1" style="16" min="1" max="1"/>
    <col width="17" customWidth="1" style="16" min="2" max="2"/>
    <col width="13.33203125" bestFit="1" customWidth="1" style="16" min="3" max="3"/>
    <col width="12.83203125" bestFit="1" customWidth="1" style="16" min="4" max="5"/>
    <col width="15.1640625" customWidth="1" style="16" min="6" max="7"/>
    <col width="7.5" customWidth="1" style="16" min="8" max="8"/>
    <col width="14.33203125" customWidth="1" style="16" min="9" max="9"/>
    <col hidden="1" width="7.5" customWidth="1" style="16" min="10" max="16384"/>
  </cols>
  <sheetData>
    <row r="1">
      <c r="B1" s="794" t="inlineStr">
        <is>
          <t>CÁLCULO DEL INTERES PRESUNTO</t>
        </is>
      </c>
      <c r="C1" s="971" t="n"/>
      <c r="D1" s="971" t="n"/>
      <c r="E1" s="971" t="n"/>
      <c r="F1" s="971" t="n"/>
      <c r="G1" s="967" t="n"/>
    </row>
    <row r="2">
      <c r="B2" s="795" t="inlineStr">
        <is>
          <t>DECRETO 771 12 JULIO DE 2025</t>
        </is>
      </c>
      <c r="C2" s="996" t="n"/>
      <c r="D2" s="996" t="n"/>
      <c r="E2" s="996" t="n"/>
      <c r="F2" s="996" t="n"/>
      <c r="G2" s="997" t="n"/>
    </row>
    <row r="3">
      <c r="B3" s="796" t="inlineStr">
        <is>
          <t>Rend. Mínimo</t>
        </is>
      </c>
      <c r="C3" s="971" t="n"/>
      <c r="D3" s="971" t="n"/>
      <c r="E3" s="971" t="n"/>
      <c r="F3" s="967" t="n"/>
      <c r="G3" s="169" t="n">
        <v>0.0925</v>
      </c>
    </row>
    <row r="4">
      <c r="B4" s="796" t="inlineStr">
        <is>
          <t>Mensual</t>
        </is>
      </c>
      <c r="C4" s="971" t="n"/>
      <c r="D4" s="971" t="n"/>
      <c r="E4" s="971" t="n"/>
      <c r="F4" s="967" t="n"/>
      <c r="G4" s="169">
        <f>G3/12</f>
        <v/>
      </c>
    </row>
    <row r="5" ht="34" customHeight="1">
      <c r="B5" s="64" t="inlineStr">
        <is>
          <t>Mes</t>
        </is>
      </c>
      <c r="C5" s="64" t="inlineStr">
        <is>
          <t>Saldo Inicial</t>
        </is>
      </c>
      <c r="D5" s="64" t="inlineStr">
        <is>
          <t>Nuevo Préstamo</t>
        </is>
      </c>
      <c r="E5" s="64" t="inlineStr">
        <is>
          <t>Abonos</t>
        </is>
      </c>
      <c r="F5" s="64" t="inlineStr">
        <is>
          <t>Saldo Final</t>
        </is>
      </c>
      <c r="G5" s="64" t="inlineStr">
        <is>
          <t>Int. Presunto</t>
        </is>
      </c>
      <c r="H5" s="23" t="n"/>
    </row>
    <row r="6">
      <c r="B6" s="24" t="inlineStr">
        <is>
          <t xml:space="preserve">Enero </t>
        </is>
      </c>
      <c r="C6" s="197" t="n">
        <v>0</v>
      </c>
      <c r="D6" s="197" t="n"/>
      <c r="E6" s="197" t="n"/>
      <c r="F6" s="66">
        <f>C6+D6-E6</f>
        <v/>
      </c>
      <c r="G6" s="66">
        <f>C6*$G$4</f>
        <v/>
      </c>
    </row>
    <row r="7">
      <c r="B7" s="24" t="inlineStr">
        <is>
          <t>Febrero</t>
        </is>
      </c>
      <c r="C7" s="202">
        <f>F6</f>
        <v/>
      </c>
      <c r="D7" s="197" t="n"/>
      <c r="E7" s="197" t="n"/>
      <c r="F7" s="66">
        <f>C7+D7-E7</f>
        <v/>
      </c>
      <c r="G7" s="66">
        <f>C7*$G$4</f>
        <v/>
      </c>
    </row>
    <row r="8">
      <c r="B8" s="24" t="inlineStr">
        <is>
          <t>Marzo</t>
        </is>
      </c>
      <c r="C8" s="202">
        <f>F7</f>
        <v/>
      </c>
      <c r="D8" s="197" t="n"/>
      <c r="E8" s="197" t="n"/>
      <c r="F8" s="66">
        <f>C8+D8-E8</f>
        <v/>
      </c>
      <c r="G8" s="66">
        <f>C8*$G$4</f>
        <v/>
      </c>
      <c r="I8" s="218" t="n"/>
    </row>
    <row r="9">
      <c r="B9" s="24" t="inlineStr">
        <is>
          <t>Abril</t>
        </is>
      </c>
      <c r="C9" s="202">
        <f>F8</f>
        <v/>
      </c>
      <c r="D9" s="197" t="n">
        <v>0</v>
      </c>
      <c r="E9" s="197" t="n"/>
      <c r="F9" s="66">
        <f>C9+D9-E9</f>
        <v/>
      </c>
      <c r="G9" s="66">
        <f>C9*$G$4</f>
        <v/>
      </c>
    </row>
    <row r="10">
      <c r="B10" s="24" t="inlineStr">
        <is>
          <t>Mayo</t>
        </is>
      </c>
      <c r="C10" s="202">
        <f>F9</f>
        <v/>
      </c>
      <c r="D10" s="197" t="n">
        <v>0</v>
      </c>
      <c r="E10" s="197" t="n"/>
      <c r="F10" s="66">
        <f>C10+D10-E10</f>
        <v/>
      </c>
      <c r="G10" s="66">
        <f>C10*$G$4</f>
        <v/>
      </c>
    </row>
    <row r="11">
      <c r="B11" s="24" t="inlineStr">
        <is>
          <t>Junio</t>
        </is>
      </c>
      <c r="C11" s="202">
        <f>F10</f>
        <v/>
      </c>
      <c r="D11" s="197" t="n"/>
      <c r="E11" s="197" t="n"/>
      <c r="F11" s="66">
        <f>C11+D11-E11</f>
        <v/>
      </c>
      <c r="G11" s="66">
        <f>C11*$G$4</f>
        <v/>
      </c>
      <c r="I11" s="5" t="n"/>
    </row>
    <row r="12">
      <c r="B12" s="24" t="inlineStr">
        <is>
          <t>Julio</t>
        </is>
      </c>
      <c r="C12" s="202">
        <f>F11</f>
        <v/>
      </c>
      <c r="D12" s="197" t="n"/>
      <c r="E12" s="197" t="n"/>
      <c r="F12" s="66">
        <f>C12+D12-E12</f>
        <v/>
      </c>
      <c r="G12" s="66">
        <f>C12*$G$4</f>
        <v/>
      </c>
    </row>
    <row r="13">
      <c r="B13" s="24" t="inlineStr">
        <is>
          <t>Agosto</t>
        </is>
      </c>
      <c r="C13" s="202">
        <f>F12</f>
        <v/>
      </c>
      <c r="D13" s="197" t="n"/>
      <c r="E13" s="197" t="n"/>
      <c r="F13" s="66">
        <f>C13+D13-E13</f>
        <v/>
      </c>
      <c r="G13" s="66">
        <f>C13*$G$4</f>
        <v/>
      </c>
    </row>
    <row r="14">
      <c r="B14" s="24" t="inlineStr">
        <is>
          <t>Septiembre</t>
        </is>
      </c>
      <c r="C14" s="202">
        <f>F13</f>
        <v/>
      </c>
      <c r="D14" s="197" t="n"/>
      <c r="E14" s="197" t="n"/>
      <c r="F14" s="66">
        <f>C14+D14-E14</f>
        <v/>
      </c>
      <c r="G14" s="66">
        <f>C14*$G$4</f>
        <v/>
      </c>
    </row>
    <row r="15">
      <c r="B15" s="24" t="inlineStr">
        <is>
          <t>Octubre</t>
        </is>
      </c>
      <c r="C15" s="202">
        <f>F14</f>
        <v/>
      </c>
      <c r="D15" s="197" t="n"/>
      <c r="E15" s="197" t="n"/>
      <c r="F15" s="66">
        <f>C15+D15-E15</f>
        <v/>
      </c>
      <c r="G15" s="66">
        <f>C15*$G$4</f>
        <v/>
      </c>
    </row>
    <row r="16">
      <c r="B16" s="24" t="inlineStr">
        <is>
          <t>Noviembre</t>
        </is>
      </c>
      <c r="C16" s="202">
        <f>F15</f>
        <v/>
      </c>
      <c r="D16" s="197" t="n"/>
      <c r="E16" s="197" t="n"/>
      <c r="F16" s="66">
        <f>C16+D16-E16</f>
        <v/>
      </c>
      <c r="G16" s="66">
        <f>C16*$G$4</f>
        <v/>
      </c>
    </row>
    <row r="17">
      <c r="B17" s="24" t="inlineStr">
        <is>
          <t>Diciembre</t>
        </is>
      </c>
      <c r="C17" s="202">
        <f>F16</f>
        <v/>
      </c>
      <c r="D17" s="197" t="n"/>
      <c r="E17" s="197" t="n"/>
      <c r="F17" s="66">
        <f>C17+D17-E17</f>
        <v/>
      </c>
      <c r="G17" s="66">
        <f>C17*$G$4</f>
        <v/>
      </c>
    </row>
    <row r="18">
      <c r="B18" s="793" t="inlineStr">
        <is>
          <t>Total intereses presunto</t>
        </is>
      </c>
      <c r="C18" s="971" t="n"/>
      <c r="D18" s="971" t="n"/>
      <c r="E18" s="971" t="n"/>
      <c r="F18" s="967" t="n"/>
      <c r="G18" s="250">
        <f>SUM(G6:G17)</f>
        <v/>
      </c>
    </row>
  </sheetData>
  <mergeCells count="5">
    <mergeCell ref="B4:F4"/>
    <mergeCell ref="B2:G2"/>
    <mergeCell ref="B3:F3"/>
    <mergeCell ref="B1:G1"/>
    <mergeCell ref="B18:F18"/>
  </mergeCells>
  <hyperlinks>
    <hyperlink ref="G18" location="R.capital!D19" display="R.capital!D19"/>
  </hyperlinks>
  <pageMargins left="0.7" right="0.7" top="0.75" bottom="0.75" header="0.3" footer="0.3"/>
  <pageSetup orientation="portrait" scale="96"/>
</worksheet>
</file>

<file path=xl/worksheets/sheet16.xml><?xml version="1.0" encoding="utf-8"?>
<worksheet xmlns="http://schemas.openxmlformats.org/spreadsheetml/2006/main">
  <sheetPr codeName="Hoja9">
    <tabColor rgb="FF0070C0"/>
    <outlinePr summaryBelow="1" summaryRight="1"/>
    <pageSetUpPr/>
  </sheetPr>
  <dimension ref="B1:H87"/>
  <sheetViews>
    <sheetView showGridLines="0" zoomScale="170" zoomScaleNormal="170" zoomScaleSheetLayoutView="119" workbookViewId="0">
      <pane ySplit="1" topLeftCell="A70" activePane="bottomLeft" state="frozen"/>
      <selection pane="bottomLeft" activeCell="F39" sqref="F39"/>
    </sheetView>
  </sheetViews>
  <sheetFormatPr baseColWidth="10" defaultColWidth="0" defaultRowHeight="16" zeroHeight="1"/>
  <cols>
    <col width="3.33203125" customWidth="1" style="72" min="1" max="1"/>
    <col width="4.5" customWidth="1" style="129" min="2" max="2"/>
    <col width="43.83203125" customWidth="1" style="72" min="3" max="3"/>
    <col width="19.83203125" customWidth="1" style="72" min="4" max="4"/>
    <col width="17.1640625" customWidth="1" style="72" min="5" max="5"/>
    <col width="18.5" customWidth="1" style="72" min="6" max="6"/>
    <col width="14" bestFit="1" customWidth="1" style="130" min="7" max="7"/>
    <col width="7.33203125" customWidth="1" style="72" min="8" max="8"/>
    <col width="12.6640625" bestFit="1" customWidth="1" style="72" min="9" max="9"/>
    <col hidden="1" width="16.5" customWidth="1" style="72" min="10" max="10"/>
    <col hidden="1" width="12.1640625" customWidth="1" style="72" min="11" max="11"/>
    <col hidden="1" width="11.5" customWidth="1" style="72" min="12" max="16384"/>
  </cols>
  <sheetData>
    <row r="1">
      <c r="B1" s="701" t="inlineStr">
        <is>
          <t>Renglón 74</t>
        </is>
      </c>
      <c r="C1" s="774" t="inlineStr">
        <is>
          <t>RENTAS NO LABORALES</t>
        </is>
      </c>
      <c r="D1" s="971" t="n"/>
      <c r="E1" s="971" t="n"/>
      <c r="F1" s="971" t="n"/>
      <c r="G1" s="967" t="n"/>
    </row>
    <row r="2">
      <c r="B2" s="237" t="n"/>
      <c r="C2" s="774" t="inlineStr">
        <is>
          <t>Ingresos</t>
        </is>
      </c>
      <c r="D2" s="971" t="n"/>
      <c r="E2" s="971" t="n"/>
      <c r="F2" s="971" t="n"/>
      <c r="G2" s="967" t="n"/>
    </row>
    <row r="3" ht="14.25" customHeight="1">
      <c r="B3" s="237" t="n"/>
      <c r="C3" s="785" t="n"/>
      <c r="D3" s="996" t="n"/>
      <c r="E3" s="997" t="n"/>
      <c r="F3" s="207" t="n"/>
      <c r="G3" s="801">
        <f>ROUND(SUM(F3:F16),-3)</f>
        <v/>
      </c>
    </row>
    <row r="4" ht="14.25" customHeight="1">
      <c r="B4" s="237" t="n"/>
      <c r="C4" s="785" t="n"/>
      <c r="D4" s="996" t="n"/>
      <c r="E4" s="997" t="n"/>
      <c r="F4" s="207" t="n"/>
      <c r="G4" s="237" t="n"/>
    </row>
    <row r="5" ht="14.25" customHeight="1">
      <c r="B5" s="237" t="n"/>
      <c r="C5" s="785" t="n"/>
      <c r="D5" s="996" t="n"/>
      <c r="E5" s="997" t="n"/>
      <c r="F5" s="207" t="n"/>
      <c r="G5" s="237" t="n"/>
    </row>
    <row r="6" ht="14.25" customHeight="1">
      <c r="B6" s="237" t="n"/>
      <c r="C6" s="785" t="n"/>
      <c r="D6" s="996" t="n"/>
      <c r="E6" s="997" t="n"/>
      <c r="F6" s="207" t="n"/>
      <c r="G6" s="237" t="n"/>
    </row>
    <row r="7" ht="14.25" customHeight="1">
      <c r="B7" s="237" t="n"/>
      <c r="C7" s="785" t="n"/>
      <c r="D7" s="996" t="n"/>
      <c r="E7" s="997" t="n"/>
      <c r="F7" s="207" t="n"/>
      <c r="G7" s="237" t="n"/>
    </row>
    <row r="8" ht="14.25" customHeight="1">
      <c r="B8" s="237" t="n"/>
      <c r="C8" s="785" t="n"/>
      <c r="D8" s="996" t="n"/>
      <c r="E8" s="997" t="n"/>
      <c r="F8" s="207" t="n"/>
      <c r="G8" s="237" t="n"/>
    </row>
    <row r="9" ht="14.25" customHeight="1">
      <c r="B9" s="237" t="n"/>
      <c r="C9" s="785" t="n"/>
      <c r="D9" s="996" t="n"/>
      <c r="E9" s="997" t="n"/>
      <c r="F9" s="207" t="n"/>
      <c r="G9" s="237" t="n"/>
    </row>
    <row r="10" ht="15" customHeight="1">
      <c r="B10" s="237" t="n"/>
      <c r="C10" s="785" t="n"/>
      <c r="D10" s="996" t="n"/>
      <c r="E10" s="997" t="n"/>
      <c r="F10" s="200" t="n"/>
      <c r="G10" s="237" t="n"/>
    </row>
    <row r="11" ht="15" customHeight="1">
      <c r="B11" s="237" t="n"/>
      <c r="C11" s="785" t="n"/>
      <c r="D11" s="996" t="n"/>
      <c r="E11" s="997" t="n"/>
      <c r="F11" s="200" t="n"/>
      <c r="G11" s="237" t="n"/>
    </row>
    <row r="12" ht="15" customHeight="1">
      <c r="B12" s="237" t="n"/>
      <c r="C12" s="785" t="n"/>
      <c r="D12" s="996" t="n"/>
      <c r="E12" s="997" t="n"/>
      <c r="F12" s="200" t="n"/>
      <c r="G12" s="237" t="n"/>
    </row>
    <row r="13" ht="15" customHeight="1">
      <c r="B13" s="237" t="n"/>
      <c r="C13" s="785" t="n"/>
      <c r="D13" s="996" t="n"/>
      <c r="E13" s="997" t="n"/>
      <c r="F13" s="200" t="n"/>
      <c r="G13" s="237" t="n"/>
    </row>
    <row r="14" ht="15" customHeight="1">
      <c r="B14" s="237" t="n"/>
      <c r="C14" s="785" t="n"/>
      <c r="D14" s="996" t="n"/>
      <c r="E14" s="997" t="n"/>
      <c r="F14" s="200" t="n"/>
      <c r="G14" s="237" t="n"/>
    </row>
    <row r="15" ht="15" customHeight="1">
      <c r="B15" s="237" t="n"/>
      <c r="C15" s="785" t="n"/>
      <c r="D15" s="996" t="n"/>
      <c r="E15" s="997" t="n"/>
      <c r="F15" s="200" t="n"/>
      <c r="G15" s="237" t="n"/>
    </row>
    <row r="16" ht="15" customHeight="1">
      <c r="B16" s="970" t="n"/>
      <c r="C16" s="785" t="n"/>
      <c r="D16" s="996" t="n"/>
      <c r="E16" s="997" t="n"/>
      <c r="F16" s="200" t="n"/>
      <c r="G16" s="970" t="n"/>
    </row>
    <row r="17" ht="15" customHeight="1">
      <c r="B17" s="701" t="inlineStr">
        <is>
          <t>Renglón 75</t>
        </is>
      </c>
      <c r="C17" s="774" t="inlineStr">
        <is>
          <t>Devoluciones, rebajas y descuentos</t>
        </is>
      </c>
      <c r="D17" s="971" t="n"/>
      <c r="E17" s="971" t="n"/>
      <c r="F17" s="971" t="n"/>
      <c r="G17" s="967" t="n"/>
    </row>
    <row r="18" ht="15" customHeight="1">
      <c r="B18" s="237" t="n"/>
      <c r="C18" s="785" t="n"/>
      <c r="D18" s="996" t="n"/>
      <c r="E18" s="997" t="n"/>
      <c r="F18" s="207" t="n"/>
      <c r="G18" s="801">
        <f>ROUND(SUM(F18:F22),-3)</f>
        <v/>
      </c>
    </row>
    <row r="19" ht="15" customHeight="1">
      <c r="B19" s="237" t="n"/>
      <c r="C19" s="785" t="n"/>
      <c r="D19" s="996" t="n"/>
      <c r="E19" s="997" t="n"/>
      <c r="F19" s="207" t="n"/>
      <c r="G19" s="237" t="n"/>
    </row>
    <row r="20" ht="15" customHeight="1">
      <c r="B20" s="237" t="n"/>
      <c r="C20" s="785" t="n"/>
      <c r="D20" s="996" t="n"/>
      <c r="E20" s="997" t="n"/>
      <c r="F20" s="207" t="n"/>
      <c r="G20" s="237" t="n"/>
    </row>
    <row r="21" ht="15" customHeight="1">
      <c r="B21" s="237" t="n"/>
      <c r="C21" s="785" t="n"/>
      <c r="D21" s="996" t="n"/>
      <c r="E21" s="997" t="n"/>
      <c r="F21" s="200" t="n"/>
      <c r="G21" s="237" t="n"/>
    </row>
    <row r="22" ht="15" customHeight="1">
      <c r="B22" s="970" t="n"/>
      <c r="C22" s="785" t="n"/>
      <c r="D22" s="996" t="n"/>
      <c r="E22" s="997" t="n"/>
      <c r="F22" s="200" t="n"/>
      <c r="G22" s="970" t="n"/>
    </row>
    <row r="23">
      <c r="B23" s="701" t="inlineStr">
        <is>
          <t>Renglón 76</t>
        </is>
      </c>
      <c r="C23" s="774" t="inlineStr">
        <is>
          <t>I.N.C.R.N.G.O.</t>
        </is>
      </c>
      <c r="D23" s="971" t="n"/>
      <c r="E23" s="971" t="n"/>
      <c r="F23" s="971" t="n"/>
      <c r="G23" s="967" t="n"/>
    </row>
    <row r="24">
      <c r="B24" s="237" t="n"/>
      <c r="C24" s="702" t="inlineStr">
        <is>
          <t>Aporte voluntario a fondo obligatorio - RAIS</t>
        </is>
      </c>
      <c r="D24" s="997" t="n"/>
      <c r="E24" s="200" t="n"/>
      <c r="F24" s="66">
        <f>Sheet1!X15</f>
        <v/>
      </c>
      <c r="G24" s="801">
        <f>ROUND(SUM(F24:F36),-3)</f>
        <v/>
      </c>
    </row>
    <row r="25">
      <c r="B25" s="237" t="n"/>
      <c r="C25" s="702" t="inlineStr">
        <is>
          <t>Aporte obligatorio a salud</t>
        </is>
      </c>
      <c r="D25" s="996" t="n"/>
      <c r="E25" s="997" t="n"/>
      <c r="F25" s="207" t="n"/>
      <c r="G25" s="237" t="n"/>
    </row>
    <row r="26">
      <c r="B26" s="237" t="n"/>
      <c r="C26" s="702" t="inlineStr">
        <is>
          <t>Aporte Obligatorio a Pensión</t>
        </is>
      </c>
      <c r="D26" s="996" t="n"/>
      <c r="E26" s="997" t="n"/>
      <c r="F26" s="207" t="n"/>
      <c r="G26" s="237" t="n"/>
    </row>
    <row r="27">
      <c r="B27" s="237" t="n"/>
      <c r="C27" s="702" t="inlineStr">
        <is>
          <t>Aporte riesgo laboral</t>
        </is>
      </c>
      <c r="D27" s="996" t="n"/>
      <c r="E27" s="997" t="n"/>
      <c r="F27" s="207" t="n"/>
      <c r="G27" s="237" t="n"/>
    </row>
    <row r="28">
      <c r="B28" s="237" t="n"/>
      <c r="C28" s="785" t="inlineStr">
        <is>
          <t>Seguro de daño componente daño emergente</t>
        </is>
      </c>
      <c r="D28" s="996" t="n"/>
      <c r="E28" s="997" t="n"/>
      <c r="F28" s="207">
        <f>F6</f>
        <v/>
      </c>
      <c r="G28" s="237" t="n"/>
    </row>
    <row r="29">
      <c r="B29" s="237" t="n"/>
      <c r="C29" s="785" t="inlineStr">
        <is>
          <t>Ganancial liquid sociedad conyugal art. 47 E.T.</t>
        </is>
      </c>
      <c r="D29" s="996" t="n"/>
      <c r="E29" s="997" t="n"/>
      <c r="F29" s="207">
        <f>F4</f>
        <v/>
      </c>
      <c r="G29" s="237" t="n"/>
    </row>
    <row r="30">
      <c r="B30" s="237" t="n"/>
      <c r="C30" s="785" t="n"/>
      <c r="D30" s="996" t="n"/>
      <c r="E30" s="997" t="n"/>
      <c r="F30" s="200" t="n"/>
      <c r="G30" s="237" t="n"/>
    </row>
    <row r="31">
      <c r="B31" s="237" t="n"/>
      <c r="C31" s="785" t="n"/>
      <c r="D31" s="996" t="n"/>
      <c r="E31" s="997" t="n"/>
      <c r="F31" s="200" t="n"/>
      <c r="G31" s="237" t="n"/>
    </row>
    <row r="32">
      <c r="B32" s="237" t="n"/>
      <c r="C32" s="785" t="n"/>
      <c r="D32" s="996" t="n"/>
      <c r="E32" s="997" t="n"/>
      <c r="F32" s="200" t="n"/>
      <c r="G32" s="237" t="n"/>
    </row>
    <row r="33">
      <c r="B33" s="237" t="n"/>
      <c r="C33" s="785" t="n"/>
      <c r="D33" s="996" t="n"/>
      <c r="E33" s="997" t="n"/>
      <c r="F33" s="200" t="n"/>
      <c r="G33" s="237" t="n"/>
    </row>
    <row r="34">
      <c r="B34" s="237" t="n"/>
      <c r="C34" s="785" t="n"/>
      <c r="D34" s="996" t="n"/>
      <c r="E34" s="997" t="n"/>
      <c r="F34" s="200" t="n"/>
      <c r="G34" s="237" t="n"/>
    </row>
    <row r="35">
      <c r="B35" s="237" t="n"/>
      <c r="C35" s="785" t="n"/>
      <c r="D35" s="996" t="n"/>
      <c r="E35" s="997" t="n"/>
      <c r="F35" s="200" t="n"/>
      <c r="G35" s="237" t="n"/>
    </row>
    <row r="36">
      <c r="B36" s="970" t="n"/>
      <c r="C36" s="785" t="n"/>
      <c r="D36" s="996" t="n"/>
      <c r="E36" s="997" t="n"/>
      <c r="F36" s="200" t="n"/>
      <c r="G36" s="970" t="n"/>
    </row>
    <row r="37" ht="15" customHeight="1">
      <c r="B37" s="701" t="inlineStr">
        <is>
          <t>Renglón 77</t>
        </is>
      </c>
      <c r="C37" s="774" t="inlineStr">
        <is>
          <t>Costos y gastos procedentes</t>
        </is>
      </c>
      <c r="D37" s="971" t="n"/>
      <c r="E37" s="971" t="n"/>
      <c r="F37" s="971" t="n"/>
      <c r="G37" s="967" t="n"/>
    </row>
    <row r="38">
      <c r="B38" s="237" t="n"/>
      <c r="C38" s="785" t="n"/>
      <c r="D38" s="996" t="n"/>
      <c r="E38" s="997" t="n"/>
      <c r="F38" s="207" t="n"/>
      <c r="G38" s="801">
        <f>SUM(F38:F56)</f>
        <v/>
      </c>
    </row>
    <row r="39">
      <c r="B39" s="237" t="n"/>
      <c r="C39" s="785" t="n"/>
      <c r="D39" s="996" t="n"/>
      <c r="E39" s="997" t="n"/>
      <c r="F39" s="207" t="n"/>
      <c r="G39" s="237" t="n"/>
    </row>
    <row r="40">
      <c r="B40" s="237" t="n"/>
      <c r="C40" s="785" t="n"/>
      <c r="D40" s="996" t="n"/>
      <c r="E40" s="997" t="n"/>
      <c r="F40" s="207" t="n"/>
      <c r="G40" s="237" t="n"/>
    </row>
    <row r="41" ht="17.25" customHeight="1">
      <c r="B41" s="237" t="n"/>
      <c r="C41" s="785" t="n"/>
      <c r="D41" s="996" t="n"/>
      <c r="E41" s="997" t="n"/>
      <c r="F41" s="207" t="n"/>
      <c r="G41" s="237" t="n"/>
    </row>
    <row r="42">
      <c r="B42" s="237" t="n"/>
      <c r="C42" s="785" t="n"/>
      <c r="D42" s="996" t="n"/>
      <c r="E42" s="997" t="n"/>
      <c r="F42" s="207" t="n"/>
      <c r="G42" s="237" t="n"/>
    </row>
    <row r="43">
      <c r="B43" s="237" t="n"/>
      <c r="C43" s="785" t="n"/>
      <c r="D43" s="996" t="n"/>
      <c r="E43" s="997" t="n"/>
      <c r="F43" s="207" t="n"/>
      <c r="G43" s="237" t="n"/>
    </row>
    <row r="44">
      <c r="B44" s="237" t="n"/>
      <c r="C44" s="785" t="n"/>
      <c r="D44" s="996" t="n"/>
      <c r="E44" s="997" t="n"/>
      <c r="F44" s="207" t="n"/>
      <c r="G44" s="237" t="n"/>
    </row>
    <row r="45">
      <c r="B45" s="237" t="n"/>
      <c r="C45" s="785" t="n"/>
      <c r="D45" s="996" t="n"/>
      <c r="E45" s="997" t="n"/>
      <c r="F45" s="207" t="n"/>
      <c r="G45" s="237" t="n"/>
    </row>
    <row r="46">
      <c r="B46" s="237" t="n"/>
      <c r="C46" s="785" t="n"/>
      <c r="D46" s="996" t="n"/>
      <c r="E46" s="997" t="n"/>
      <c r="F46" s="200" t="n"/>
      <c r="G46" s="237" t="n"/>
    </row>
    <row r="47">
      <c r="B47" s="237" t="n"/>
      <c r="C47" s="785" t="n"/>
      <c r="D47" s="996" t="n"/>
      <c r="E47" s="997" t="n"/>
      <c r="F47" s="200" t="n"/>
      <c r="G47" s="237" t="n"/>
    </row>
    <row r="48">
      <c r="B48" s="237" t="n"/>
      <c r="C48" s="785" t="n"/>
      <c r="D48" s="996" t="n"/>
      <c r="E48" s="997" t="n"/>
      <c r="F48" s="200" t="n"/>
      <c r="G48" s="237" t="n"/>
    </row>
    <row r="49">
      <c r="B49" s="237" t="n"/>
      <c r="C49" s="785" t="n"/>
      <c r="D49" s="996" t="n"/>
      <c r="E49" s="997" t="n"/>
      <c r="F49" s="200" t="n"/>
      <c r="G49" s="237" t="n"/>
    </row>
    <row r="50">
      <c r="B50" s="237" t="n"/>
      <c r="C50" s="785" t="n"/>
      <c r="D50" s="996" t="n"/>
      <c r="E50" s="997" t="n"/>
      <c r="F50" s="200" t="n"/>
      <c r="G50" s="237" t="n"/>
    </row>
    <row r="51">
      <c r="B51" s="237" t="n"/>
      <c r="C51" s="785" t="n"/>
      <c r="D51" s="996" t="n"/>
      <c r="E51" s="997" t="n"/>
      <c r="F51" s="200" t="n"/>
      <c r="G51" s="237" t="n"/>
    </row>
    <row r="52">
      <c r="B52" s="237" t="n"/>
      <c r="C52" s="785" t="n"/>
      <c r="D52" s="996" t="n"/>
      <c r="E52" s="997" t="n"/>
      <c r="F52" s="200" t="n"/>
      <c r="G52" s="237" t="n"/>
    </row>
    <row r="53">
      <c r="B53" s="237" t="n"/>
      <c r="C53" s="785" t="n"/>
      <c r="D53" s="996" t="n"/>
      <c r="E53" s="997" t="n"/>
      <c r="F53" s="200" t="n"/>
      <c r="G53" s="237" t="n"/>
    </row>
    <row r="54">
      <c r="B54" s="237" t="n"/>
      <c r="C54" s="785" t="n"/>
      <c r="D54" s="996" t="n"/>
      <c r="E54" s="997" t="n"/>
      <c r="F54" s="200" t="n"/>
      <c r="G54" s="237" t="n"/>
    </row>
    <row r="55">
      <c r="B55" s="237" t="n"/>
      <c r="C55" s="785" t="n"/>
      <c r="D55" s="996" t="n"/>
      <c r="E55" s="997" t="n"/>
      <c r="F55" s="200" t="n"/>
      <c r="G55" s="237" t="n"/>
    </row>
    <row r="56">
      <c r="B56" s="970" t="n"/>
      <c r="C56" s="785" t="n"/>
      <c r="D56" s="996" t="n"/>
      <c r="E56" s="997" t="n"/>
      <c r="F56" s="200" t="n"/>
      <c r="G56" s="970" t="n"/>
    </row>
    <row r="57" ht="15" customHeight="1">
      <c r="B57" s="701" t="inlineStr">
        <is>
          <t>Renglón 79</t>
        </is>
      </c>
      <c r="C57" s="774" t="inlineStr">
        <is>
          <t>Rentas líquidas pasivas no laborales E.C.E</t>
        </is>
      </c>
      <c r="D57" s="971" t="n"/>
      <c r="E57" s="971" t="n"/>
      <c r="F57" s="971" t="n"/>
      <c r="G57" s="967" t="n"/>
    </row>
    <row r="58">
      <c r="B58" s="237" t="n"/>
      <c r="C58" s="785" t="n"/>
      <c r="D58" s="996" t="n"/>
      <c r="E58" s="997" t="n"/>
      <c r="F58" s="200" t="n"/>
      <c r="G58" s="801" t="n">
        <v>0</v>
      </c>
    </row>
    <row r="59">
      <c r="B59" s="237" t="n"/>
      <c r="C59" s="785" t="n"/>
      <c r="D59" s="996" t="n"/>
      <c r="E59" s="997" t="n"/>
      <c r="F59" s="200" t="n"/>
      <c r="G59" s="237" t="n"/>
    </row>
    <row r="60">
      <c r="B60" s="237" t="n"/>
      <c r="C60" s="785" t="n"/>
      <c r="D60" s="996" t="n"/>
      <c r="E60" s="997" t="n"/>
      <c r="F60" s="200" t="n"/>
      <c r="G60" s="237" t="n"/>
    </row>
    <row r="61">
      <c r="B61" s="237" t="n"/>
      <c r="C61" s="785" t="n"/>
      <c r="D61" s="996" t="n"/>
      <c r="E61" s="997" t="n"/>
      <c r="F61" s="200" t="n"/>
      <c r="G61" s="237" t="n"/>
    </row>
    <row r="62">
      <c r="B62" s="970" t="n"/>
      <c r="C62" s="785" t="n"/>
      <c r="D62" s="996" t="n"/>
      <c r="E62" s="997" t="n"/>
      <c r="F62" s="200" t="n"/>
      <c r="G62" s="970" t="n"/>
    </row>
    <row r="63" ht="15" customHeight="1">
      <c r="B63" s="736" t="inlineStr">
        <is>
          <t>Rentas exentas y deducciones</t>
        </is>
      </c>
      <c r="C63" s="971" t="n"/>
      <c r="D63" s="971" t="n"/>
      <c r="E63" s="971" t="n"/>
      <c r="F63" s="971" t="n"/>
      <c r="G63" s="967" t="n"/>
    </row>
    <row r="64" ht="15" customHeight="1">
      <c r="B64" s="728" t="inlineStr">
        <is>
          <t>R. 80</t>
        </is>
      </c>
      <c r="C64" s="702" t="inlineStr">
        <is>
          <t>Aporte voluntario a pensión</t>
        </is>
      </c>
      <c r="D64" s="997" t="n"/>
      <c r="E64" s="200" t="n"/>
      <c r="F64" s="813">
        <f>Sheet1!S30</f>
        <v/>
      </c>
      <c r="G64" s="803">
        <f>SUM(F66:F71)</f>
        <v/>
      </c>
    </row>
    <row r="65" ht="15" customHeight="1">
      <c r="B65" s="237" t="n"/>
      <c r="C65" s="702" t="inlineStr">
        <is>
          <t>Ahorro en cuenta AFC y/o AVC</t>
        </is>
      </c>
      <c r="D65" s="997" t="n"/>
      <c r="E65" s="200" t="n"/>
      <c r="F65" s="970" t="n"/>
      <c r="G65" s="237" t="n"/>
      <c r="H65" s="38" t="n"/>
    </row>
    <row r="66" ht="15" customHeight="1">
      <c r="B66" s="701" t="inlineStr">
        <is>
          <t>R. 81</t>
        </is>
      </c>
      <c r="C66" s="1057" t="inlineStr">
        <is>
          <t>Rentas por servicios hoteleros en nuevos o remodelados (No limitada)</t>
        </is>
      </c>
      <c r="D66" s="997" t="n"/>
      <c r="E66" s="200" t="n"/>
      <c r="F66" s="804" t="n"/>
      <c r="G66" s="237" t="n"/>
      <c r="H66" s="38" t="n"/>
    </row>
    <row r="67" ht="15" customHeight="1">
      <c r="B67" s="237" t="n"/>
      <c r="C67" s="785" t="inlineStr">
        <is>
          <t>Otras rentas exentas</t>
        </is>
      </c>
      <c r="D67" s="997" t="n"/>
      <c r="E67" s="200" t="n"/>
      <c r="F67" s="804" t="n"/>
      <c r="G67" s="237" t="n"/>
      <c r="H67" s="38" t="n"/>
    </row>
    <row r="68" ht="15" customHeight="1">
      <c r="B68" s="970" t="n"/>
      <c r="C68" s="1026" t="n"/>
      <c r="D68" s="997" t="n"/>
      <c r="E68" s="200" t="n"/>
      <c r="F68" s="804" t="n"/>
      <c r="G68" s="237" t="n"/>
      <c r="H68" s="38" t="n"/>
    </row>
    <row r="69" ht="31" customHeight="1">
      <c r="B69" s="242" t="inlineStr">
        <is>
          <t>R. 83</t>
        </is>
      </c>
      <c r="C69" s="702" t="inlineStr">
        <is>
          <t>Intereses por prestamos de vivienda</t>
        </is>
      </c>
      <c r="D69" s="997" t="n"/>
      <c r="E69" s="200" t="n"/>
      <c r="F69" s="66">
        <f>IF(E69&gt;(1200*G87),(1200*G87),E69)</f>
        <v/>
      </c>
      <c r="G69" s="237" t="n"/>
      <c r="H69" s="38" t="n"/>
    </row>
    <row r="70" ht="15" customHeight="1">
      <c r="B70" s="728" t="inlineStr">
        <is>
          <t>R. 84</t>
        </is>
      </c>
      <c r="C70" s="702" t="inlineStr">
        <is>
          <t>G.M.F.</t>
        </is>
      </c>
      <c r="D70" s="997" t="n"/>
      <c r="E70" s="200" t="n"/>
      <c r="F70" s="66">
        <f>E70/2</f>
        <v/>
      </c>
      <c r="G70" s="237" t="n"/>
      <c r="H70" s="38" t="n"/>
    </row>
    <row r="71" ht="15" customHeight="1">
      <c r="B71" s="237" t="n"/>
      <c r="C71" s="703" t="inlineStr">
        <is>
          <t>Aportes voluntarios a fondos de cesantias</t>
        </is>
      </c>
      <c r="D71" s="996" t="n"/>
      <c r="E71" s="200" t="n"/>
      <c r="F71" s="66">
        <f>IF(E71&gt;Sheet1!L33,Sheet1!L33,E71)</f>
        <v/>
      </c>
      <c r="G71" s="237" t="n"/>
    </row>
    <row r="72" ht="15" customHeight="1">
      <c r="B72" s="789" t="inlineStr">
        <is>
          <t>Renglón 79</t>
        </is>
      </c>
      <c r="C72" s="774" t="inlineStr">
        <is>
          <t>Rentas líquidas pasivas de capital</t>
        </is>
      </c>
      <c r="D72" s="971" t="n"/>
      <c r="E72" s="971" t="n"/>
      <c r="F72" s="971" t="n"/>
      <c r="G72" s="967" t="n"/>
    </row>
    <row r="73" ht="15" customHeight="1">
      <c r="B73" s="1056" t="n"/>
      <c r="C73" s="785" t="n"/>
      <c r="D73" s="996" t="n"/>
      <c r="E73" s="997" t="n"/>
      <c r="F73" s="200" t="n"/>
      <c r="G73" s="781">
        <f>ROUND(SUM(F73:F77),-3)</f>
        <v/>
      </c>
    </row>
    <row r="74" ht="15" customHeight="1">
      <c r="B74" s="1056" t="n"/>
      <c r="C74" s="785" t="n"/>
      <c r="D74" s="996" t="n"/>
      <c r="E74" s="997" t="n"/>
      <c r="F74" s="200" t="n"/>
      <c r="G74" s="237" t="n"/>
    </row>
    <row r="75" ht="15" customHeight="1">
      <c r="B75" s="1056" t="n"/>
      <c r="C75" s="785" t="n"/>
      <c r="D75" s="996" t="n"/>
      <c r="E75" s="997" t="n"/>
      <c r="F75" s="200" t="n"/>
      <c r="G75" s="237" t="n"/>
    </row>
    <row r="76" ht="15" customHeight="1">
      <c r="B76" s="1056" t="n"/>
      <c r="C76" s="785" t="n"/>
      <c r="D76" s="996" t="n"/>
      <c r="E76" s="997" t="n"/>
      <c r="F76" s="200" t="n"/>
      <c r="G76" s="237" t="n"/>
    </row>
    <row r="77" ht="15" customHeight="1">
      <c r="B77" s="1056" t="n"/>
      <c r="C77" s="785" t="n"/>
      <c r="D77" s="996" t="n"/>
      <c r="E77" s="997" t="n"/>
      <c r="F77" s="200" t="n"/>
      <c r="G77" s="970" t="n"/>
    </row>
    <row r="78" ht="15" customHeight="1">
      <c r="B78" s="75" t="n"/>
      <c r="G78" s="72" t="n"/>
    </row>
    <row r="79" ht="15" customHeight="1">
      <c r="B79" s="701" t="inlineStr">
        <is>
          <t>R. 89</t>
        </is>
      </c>
      <c r="C79" s="774" t="inlineStr">
        <is>
          <t>Compensaciones por pérdidas</t>
        </is>
      </c>
      <c r="D79" s="971" t="n"/>
      <c r="E79" s="971" t="n"/>
      <c r="F79" s="971" t="n"/>
      <c r="G79" s="967" t="n"/>
    </row>
    <row r="80" ht="15" customHeight="1">
      <c r="B80" s="970" t="n"/>
      <c r="C80" s="702" t="inlineStr">
        <is>
          <t>Compensación de perdidas</t>
        </is>
      </c>
      <c r="D80" s="996" t="n"/>
      <c r="E80" s="997" t="n"/>
      <c r="F80" s="200" t="n"/>
      <c r="G80" s="202">
        <f>F80</f>
        <v/>
      </c>
    </row>
    <row r="81" ht="15" customHeight="1">
      <c r="B81" s="75" t="n"/>
      <c r="G81" s="72" t="n"/>
    </row>
    <row r="82" ht="16" customHeight="1">
      <c r="B82" s="808" t="inlineStr">
        <is>
          <t>Renglón 96</t>
        </is>
      </c>
      <c r="C82" s="736" t="inlineStr">
        <is>
          <t>Rentas liquidas gravables Art 239-1 y otras</t>
        </is>
      </c>
      <c r="D82" s="971" t="n"/>
      <c r="E82" s="971" t="n"/>
      <c r="F82" s="971" t="n"/>
      <c r="G82" s="967" t="n"/>
    </row>
    <row r="83">
      <c r="C83" s="702" t="inlineStr">
        <is>
          <t>Activos omitidos</t>
        </is>
      </c>
      <c r="D83" s="996" t="n"/>
      <c r="E83" s="997" t="n"/>
      <c r="F83" s="197" t="n"/>
      <c r="G83" s="813">
        <f>SUM(F83:F85)</f>
        <v/>
      </c>
    </row>
    <row r="84">
      <c r="C84" s="702" t="inlineStr">
        <is>
          <t>Pasivos inexistentes</t>
        </is>
      </c>
      <c r="D84" s="996" t="n"/>
      <c r="E84" s="997" t="n"/>
      <c r="F84" s="197" t="n"/>
      <c r="G84" s="237" t="n"/>
    </row>
    <row r="85">
      <c r="C85" s="1058" t="inlineStr">
        <is>
          <t>Diferencia por comparación patrimonial no justificada</t>
        </is>
      </c>
      <c r="D85" s="996" t="n"/>
      <c r="E85" s="997" t="n"/>
      <c r="F85" s="197" t="n"/>
      <c r="G85" s="970" t="n"/>
    </row>
    <row r="87">
      <c r="B87" s="797" t="inlineStr">
        <is>
          <t>Valor UVT</t>
        </is>
      </c>
      <c r="C87" s="996" t="n"/>
      <c r="D87" s="996" t="n"/>
      <c r="E87" s="996" t="n"/>
      <c r="F87" s="997" t="n"/>
      <c r="G87" s="159">
        <f>'R.capital'!G68</f>
        <v/>
      </c>
    </row>
  </sheetData>
  <mergeCells count="104">
    <mergeCell ref="C44:E44"/>
    <mergeCell ref="C31:E31"/>
    <mergeCell ref="C80:E80"/>
    <mergeCell ref="C40:E40"/>
    <mergeCell ref="C21:E21"/>
    <mergeCell ref="C64:D64"/>
    <mergeCell ref="C51:E51"/>
    <mergeCell ref="C60:E60"/>
    <mergeCell ref="B17:B22"/>
    <mergeCell ref="C7:E7"/>
    <mergeCell ref="B64:B65"/>
    <mergeCell ref="C49:E49"/>
    <mergeCell ref="C18:E18"/>
    <mergeCell ref="F64:F65"/>
    <mergeCell ref="C23:G23"/>
    <mergeCell ref="C77:E77"/>
    <mergeCell ref="C34:E34"/>
    <mergeCell ref="C42:E42"/>
    <mergeCell ref="C74:E74"/>
    <mergeCell ref="G64:G71"/>
    <mergeCell ref="C67:D67"/>
    <mergeCell ref="C57:G57"/>
    <mergeCell ref="C20:E20"/>
    <mergeCell ref="B1:B16"/>
    <mergeCell ref="C69:D69"/>
    <mergeCell ref="C25:E25"/>
    <mergeCell ref="C85:E85"/>
    <mergeCell ref="C75:E75"/>
    <mergeCell ref="C84:E84"/>
    <mergeCell ref="C22:E22"/>
    <mergeCell ref="C59:E59"/>
    <mergeCell ref="C12:E12"/>
    <mergeCell ref="C46:E46"/>
    <mergeCell ref="C52:E52"/>
    <mergeCell ref="C61:E61"/>
    <mergeCell ref="C39:E39"/>
    <mergeCell ref="C48:E48"/>
    <mergeCell ref="C32:E32"/>
    <mergeCell ref="C38:E38"/>
    <mergeCell ref="B57:B62"/>
    <mergeCell ref="C13:E13"/>
    <mergeCell ref="G38:G56"/>
    <mergeCell ref="B63:G63"/>
    <mergeCell ref="C71:D71"/>
    <mergeCell ref="C15:E15"/>
    <mergeCell ref="B79:B80"/>
    <mergeCell ref="C33:E33"/>
    <mergeCell ref="G3:G16"/>
    <mergeCell ref="C73:E73"/>
    <mergeCell ref="C66:D66"/>
    <mergeCell ref="C26:E26"/>
    <mergeCell ref="B23:B36"/>
    <mergeCell ref="C35:E35"/>
    <mergeCell ref="C10:E10"/>
    <mergeCell ref="C16:E16"/>
    <mergeCell ref="C50:E50"/>
    <mergeCell ref="G58:G62"/>
    <mergeCell ref="G18:G22"/>
    <mergeCell ref="C68:D68"/>
    <mergeCell ref="G83:G85"/>
    <mergeCell ref="C55:E55"/>
    <mergeCell ref="C9:E9"/>
    <mergeCell ref="B72:B77"/>
    <mergeCell ref="C36:E36"/>
    <mergeCell ref="C11:E11"/>
    <mergeCell ref="C65:D65"/>
    <mergeCell ref="B66:B68"/>
    <mergeCell ref="B82:B85"/>
    <mergeCell ref="G24:G36"/>
    <mergeCell ref="C28:E28"/>
    <mergeCell ref="B87:F87"/>
    <mergeCell ref="C2:G2"/>
    <mergeCell ref="C70:D70"/>
    <mergeCell ref="C30:E30"/>
    <mergeCell ref="C6:E6"/>
    <mergeCell ref="C62:E62"/>
    <mergeCell ref="C14:E14"/>
    <mergeCell ref="C72:G72"/>
    <mergeCell ref="C4:E4"/>
    <mergeCell ref="C37:G37"/>
    <mergeCell ref="C54:E54"/>
    <mergeCell ref="C24:D24"/>
    <mergeCell ref="C41:E41"/>
    <mergeCell ref="B70:B71"/>
    <mergeCell ref="C56:E56"/>
    <mergeCell ref="C43:E43"/>
    <mergeCell ref="C79:G79"/>
    <mergeCell ref="B37:B56"/>
    <mergeCell ref="G73:G77"/>
    <mergeCell ref="C76:E76"/>
    <mergeCell ref="C27:E27"/>
    <mergeCell ref="C1:G1"/>
    <mergeCell ref="C8:E8"/>
    <mergeCell ref="C19:E19"/>
    <mergeCell ref="C53:E53"/>
    <mergeCell ref="C3:E3"/>
    <mergeCell ref="C83:E83"/>
    <mergeCell ref="C17:G17"/>
    <mergeCell ref="C58:E58"/>
    <mergeCell ref="C82:G82"/>
    <mergeCell ref="C5:E5"/>
    <mergeCell ref="C45:E45"/>
    <mergeCell ref="C29:E29"/>
    <mergeCell ref="C47:E47"/>
  </mergeCells>
  <hyperlinks>
    <hyperlink ref="B1" location="'FORMULARIO 210'!Z16" display="Renglón 74"/>
    <hyperlink ref="B17" location="'FORMULARIO 210'!Z17" display="Renglón 75"/>
    <hyperlink ref="B23" location="'FORMULARIO 210'!Z18" display="Renglón 76"/>
    <hyperlink ref="B37" location="'FORMULARIO 210'!Z19" display="Renglón 77"/>
    <hyperlink ref="B57" location="'FORMULARIO 210'!Z21" display="Renglón 79"/>
    <hyperlink ref="B64" location="'FORMULARIO 210'!Z22" display="R. 80"/>
    <hyperlink ref="B66" location="'FORMULARIO 210'!Z23" display="R. 81"/>
    <hyperlink ref="B69" location="'FORMULARIO 210'!Z25" display="R. 83"/>
    <hyperlink ref="B70" location="'FORMULARIO 210'!Z26" display="R. 84"/>
    <hyperlink ref="B72" location="'FORMULARIO 210'!Z21" display="Renglón 79"/>
    <hyperlink ref="B79" location="'FORMULARIO 210'!Z31" display="R. 89"/>
    <hyperlink ref="B82" location="'FORMULARIO 210'!L34" display="Renglón 96"/>
  </hyperlinks>
  <pageMargins left="0.7" right="0.7" top="0.75" bottom="0.75" header="0.3" footer="0.3"/>
  <pageSetup orientation="portrait" scale="62"/>
  <rowBreaks count="1" manualBreakCount="1">
    <brk id="81" min="0" max="16383" man="1"/>
  </rowBreaks>
</worksheet>
</file>

<file path=xl/worksheets/sheet17.xml><?xml version="1.0" encoding="utf-8"?>
<worksheet xmlns="http://schemas.openxmlformats.org/spreadsheetml/2006/main">
  <sheetPr>
    <tabColor rgb="FF0070C0"/>
    <outlinePr summaryBelow="1" summaryRight="1"/>
    <pageSetUpPr/>
  </sheetPr>
  <dimension ref="A1:P101"/>
  <sheetViews>
    <sheetView topLeftCell="A21" zoomScale="110" zoomScaleNormal="110" workbookViewId="0">
      <selection activeCell="F11" sqref="F11"/>
    </sheetView>
  </sheetViews>
  <sheetFormatPr baseColWidth="10" defaultColWidth="0" defaultRowHeight="18" zeroHeight="1"/>
  <cols>
    <col width="3.5" customWidth="1" style="286" min="1" max="1"/>
    <col width="4.1640625" customWidth="1" style="170" min="2" max="2"/>
    <col width="48.33203125" customWidth="1" style="275" min="3" max="3"/>
    <col width="35.83203125" customWidth="1" style="275" min="4" max="4"/>
    <col width="38" customWidth="1" style="275" min="5" max="5"/>
    <col width="16.5" customWidth="1" style="275" min="6" max="6"/>
    <col width="17.5" customWidth="1" style="275" min="7" max="7"/>
    <col width="19.83203125" customWidth="1" style="275" min="8" max="8"/>
    <col width="13.5" bestFit="1" customWidth="1" style="275" min="9" max="9"/>
    <col width="11" customWidth="1" style="275" min="10" max="15"/>
    <col hidden="1" width="13" customWidth="1" style="275" min="16" max="16"/>
    <col hidden="1" width="11" customWidth="1" style="275" min="17" max="16384"/>
  </cols>
  <sheetData>
    <row r="1" ht="20" customHeight="1">
      <c r="A1" s="816" t="inlineStr">
        <is>
          <t>GANANCIA OCASIONAL</t>
        </is>
      </c>
      <c r="B1" s="964" t="n"/>
      <c r="C1" s="964" t="n"/>
      <c r="D1" s="964" t="n"/>
      <c r="E1" s="964" t="n"/>
      <c r="F1" s="964" t="n"/>
      <c r="G1" s="964" t="n"/>
    </row>
    <row r="2" ht="19" customHeight="1">
      <c r="A2" s="817" t="inlineStr">
        <is>
          <t>Renglón 111</t>
        </is>
      </c>
      <c r="B2" s="818" t="inlineStr">
        <is>
          <t>Venta de inmuebles diferente a vivienda</t>
        </is>
      </c>
      <c r="C2" s="820" t="inlineStr">
        <is>
          <t>Tipo de inmueble/ Acciones</t>
        </is>
      </c>
      <c r="D2" s="405" t="inlineStr">
        <is>
          <t>Precio de venta</t>
        </is>
      </c>
      <c r="E2" s="820" t="inlineStr">
        <is>
          <t>Costo fiscal por ganancia ocasional</t>
        </is>
      </c>
      <c r="F2" s="958" t="n"/>
      <c r="G2" s="959" t="n"/>
    </row>
    <row r="3" ht="30" customHeight="1">
      <c r="A3" s="237" t="n"/>
      <c r="B3" s="237" t="n"/>
      <c r="C3" s="821" t="n"/>
      <c r="D3" s="822" t="n"/>
      <c r="E3" s="417" t="inlineStr">
        <is>
          <t>Costo Fiscal año anterior (Avaluo catastral o autoavaluo art. 72 E.T.)</t>
        </is>
      </c>
      <c r="F3" s="418" t="n"/>
      <c r="G3" s="823">
        <f>IF(ROUND(SUM(F3+F7+F8+F9),-3)&gt;D3,D3,ROUND(SUM(F3+F7+F8+F9),-3))</f>
        <v/>
      </c>
      <c r="H3" s="815" t="inlineStr">
        <is>
          <t>Diligencie esta sección solo si en año anterior el VALOR PATRIMONIAL fue determinado con el valor del predial o si desea determinar el costo de la ganancia ocasional con el valor de compra más reajustes fiscales</t>
        </is>
      </c>
      <c r="I3" s="1059" t="n"/>
      <c r="J3" s="1060" t="n"/>
    </row>
    <row r="4">
      <c r="A4" s="237" t="n"/>
      <c r="B4" s="237" t="n"/>
      <c r="C4" s="1061" t="n"/>
      <c r="D4" s="1061" t="n"/>
      <c r="E4" s="417" t="inlineStr">
        <is>
          <t>Costo de adquisición</t>
        </is>
      </c>
      <c r="F4" s="418" t="n"/>
      <c r="G4" s="1062" t="n"/>
      <c r="H4" s="1063" t="n"/>
      <c r="J4" s="1064" t="n"/>
    </row>
    <row r="5">
      <c r="A5" s="237" t="n"/>
      <c r="B5" s="237" t="n"/>
      <c r="C5" s="1061" t="n"/>
      <c r="D5" s="1061" t="n"/>
      <c r="E5" s="417" t="inlineStr">
        <is>
          <t>Fecha de compra</t>
        </is>
      </c>
      <c r="F5" s="1065" t="n"/>
      <c r="G5" s="1062" t="n"/>
      <c r="H5" s="1063" t="n"/>
      <c r="J5" s="1064" t="n"/>
    </row>
    <row r="6">
      <c r="A6" s="237" t="n"/>
      <c r="B6" s="237" t="n"/>
      <c r="C6" s="1061" t="n"/>
      <c r="D6" s="1061" t="n"/>
      <c r="E6" s="417" t="inlineStr">
        <is>
          <t>Fecha de venta</t>
        </is>
      </c>
      <c r="F6" s="1065" t="n"/>
      <c r="G6" s="1062" t="n"/>
      <c r="H6" s="1063" t="n"/>
      <c r="J6" s="1064" t="n"/>
    </row>
    <row r="7" ht="19" customHeight="1">
      <c r="A7" s="237" t="n"/>
      <c r="B7" s="237" t="n"/>
      <c r="C7" s="1061" t="n"/>
      <c r="D7" s="1061" t="n"/>
      <c r="E7" s="420" t="inlineStr">
        <is>
          <t>Costo fiscal reajustado</t>
        </is>
      </c>
      <c r="F7" s="1066">
        <f>+'REAJUST FISCAL'!F57</f>
        <v/>
      </c>
      <c r="G7" s="1062" t="n"/>
      <c r="H7" s="1063" t="n"/>
      <c r="J7" s="1064" t="n"/>
      <c r="P7" s="275" t="inlineStr">
        <is>
          <t xml:space="preserve"> </t>
        </is>
      </c>
    </row>
    <row r="8" ht="19" customHeight="1">
      <c r="A8" s="237" t="n"/>
      <c r="B8" s="237" t="n"/>
      <c r="C8" s="1061" t="n"/>
      <c r="D8" s="1061" t="n"/>
      <c r="E8" s="420" t="inlineStr">
        <is>
          <t>(+) mejoras en el año de la venta</t>
        </is>
      </c>
      <c r="F8" s="418" t="n"/>
      <c r="G8" s="1062" t="n"/>
      <c r="H8" s="1063" t="n"/>
      <c r="J8" s="1064" t="n"/>
      <c r="P8" s="275" t="inlineStr">
        <is>
          <t xml:space="preserve"> </t>
        </is>
      </c>
    </row>
    <row r="9">
      <c r="A9" s="237" t="n"/>
      <c r="B9" s="237" t="n"/>
      <c r="C9" s="1061" t="n"/>
      <c r="D9" s="1061" t="n"/>
      <c r="E9" s="420" t="inlineStr">
        <is>
          <t>(+) Valorización en el año de la venta</t>
        </is>
      </c>
      <c r="F9" s="418" t="n"/>
      <c r="G9" s="1067" t="n"/>
      <c r="H9" s="1068" t="n"/>
      <c r="I9" s="1069" t="n"/>
      <c r="J9" s="1070" t="n"/>
    </row>
    <row r="10">
      <c r="A10" s="237" t="n"/>
      <c r="B10" s="237" t="n"/>
      <c r="C10" s="1061" t="n"/>
      <c r="D10" s="1061" t="n"/>
      <c r="E10" s="417" t="inlineStr">
        <is>
          <t>Costo de adquisición</t>
        </is>
      </c>
      <c r="F10" s="422" t="n"/>
      <c r="G10" s="823">
        <f>IF(ROUND(SUM(F14+F15+F16),-3)&gt;D3,D3,ROUND(SUM(F14+F15+F16),-3))</f>
        <v/>
      </c>
      <c r="H10" s="814" t="inlineStr">
        <is>
          <t>Diligencie esta sección solo si en año anterior el valor patrimonial lo determino de acuerdo al art. 73 E.T.</t>
        </is>
      </c>
      <c r="I10" s="1059" t="n"/>
      <c r="J10" s="1060" t="n"/>
    </row>
    <row r="11">
      <c r="A11" s="237" t="n"/>
      <c r="B11" s="237" t="n"/>
      <c r="C11" s="1061" t="n"/>
      <c r="D11" s="1061" t="n"/>
      <c r="E11" s="417" t="inlineStr">
        <is>
          <t>Bines raices o acciones o aportes</t>
        </is>
      </c>
      <c r="F11" s="423" t="inlineStr">
        <is>
          <t>Bienes urbanos</t>
        </is>
      </c>
      <c r="G11" s="1062" t="n"/>
      <c r="H11" s="1063" t="n"/>
      <c r="J11" s="1064" t="n"/>
    </row>
    <row r="12">
      <c r="A12" s="237" t="n"/>
      <c r="B12" s="237" t="n"/>
      <c r="C12" s="1061" t="n"/>
      <c r="D12" s="1061" t="n"/>
      <c r="E12" s="417" t="inlineStr">
        <is>
          <t>Año de adquisición</t>
        </is>
      </c>
      <c r="F12" s="423" t="n">
        <v>2001</v>
      </c>
      <c r="G12" s="1062" t="n"/>
      <c r="H12" s="1063" t="n"/>
      <c r="J12" s="1064" t="n"/>
    </row>
    <row r="13" ht="45" customHeight="1">
      <c r="A13" s="237" t="n"/>
      <c r="B13" s="237" t="n"/>
      <c r="C13" s="1061" t="n"/>
      <c r="D13" s="1061" t="n"/>
      <c r="E13" s="420" t="inlineStr">
        <is>
          <t>Ajuste incremento porcentual del v/r. de la propiedad raíz entre el año de la compra y el año de la venta</t>
        </is>
      </c>
      <c r="F13" s="424">
        <f>IF(G.OCAS!F11="Acciones y aportes",VLOOKUP(G.OCAS!F12,Sheet1!$B$5:$F$75,2),IF(G.OCAS!F11="BIENES URBANOS",VLOOKUP(G.OCAS!F12,Sheet1!$B$5:$F$75,3),IF(G.OCAS!F11="BIENES RURALES",VLOOKUP(G.OCAS!F12,Sheet1!$B$5:$F$75,5),IF(G.OCAS!F11="Bienes Raíces Rurales dedicados a actividades agropecuarias",VLOOKUP(G.OCAS!F12,Sheet1!$B$5:$F$75,4),0))))</f>
        <v/>
      </c>
      <c r="G13" s="1062" t="n"/>
      <c r="H13" s="1063" t="n"/>
      <c r="J13" s="1064" t="n"/>
    </row>
    <row r="14">
      <c r="A14" s="237" t="n"/>
      <c r="B14" s="237" t="n"/>
      <c r="C14" s="1061" t="n"/>
      <c r="D14" s="1061" t="n"/>
      <c r="E14" s="417" t="inlineStr">
        <is>
          <t>Costo reajustado</t>
        </is>
      </c>
      <c r="F14" s="418">
        <f>+F10*G.OCAS!F13</f>
        <v/>
      </c>
      <c r="G14" s="1062" t="n"/>
      <c r="H14" s="1063" t="n"/>
      <c r="J14" s="1064" t="n"/>
    </row>
    <row r="15">
      <c r="A15" s="237" t="n"/>
      <c r="B15" s="237" t="n"/>
      <c r="C15" s="1061" t="n"/>
      <c r="D15" s="1061" t="n"/>
      <c r="E15" s="420" t="inlineStr">
        <is>
          <t>(+) mejoras</t>
        </is>
      </c>
      <c r="F15" s="418" t="n"/>
      <c r="G15" s="1062" t="n"/>
      <c r="H15" s="1063" t="n"/>
      <c r="J15" s="1064" t="n"/>
    </row>
    <row r="16">
      <c r="A16" s="237" t="n"/>
      <c r="B16" s="237" t="n"/>
      <c r="C16" s="1071" t="n"/>
      <c r="D16" s="1071" t="n"/>
      <c r="E16" s="420" t="inlineStr">
        <is>
          <t>(+) Valorización</t>
        </is>
      </c>
      <c r="F16" s="418" t="n"/>
      <c r="G16" s="1067" t="n"/>
      <c r="H16" s="1068" t="n"/>
      <c r="I16" s="1069" t="n"/>
      <c r="J16" s="1070" t="n"/>
    </row>
    <row r="17" ht="30" customHeight="1">
      <c r="A17" s="237" t="n"/>
      <c r="B17" s="237" t="n"/>
      <c r="C17" s="824" t="n"/>
      <c r="D17" s="827" t="n"/>
      <c r="E17" s="417" t="inlineStr">
        <is>
          <t>Costo Fiscal año anterior (Avaluo catastral o autoavaluo art. 72 E.T.)</t>
        </is>
      </c>
      <c r="F17" s="418" t="n"/>
      <c r="G17" s="830">
        <f>IF(ROUND(SUM(F17+F21+F22+F23),-3)&gt;D17,D17,ROUND(SUM(F17+F21+F22+F23),-3))</f>
        <v/>
      </c>
      <c r="H17" s="815" t="inlineStr">
        <is>
          <t>Diligencie esta sección solo si en año anterior el VALOR PATRIMONIAL fue determinado con el valor del predial o si desea determinar el costo de la ganancia ocasional con el valor de compra más reajustes fiscales</t>
        </is>
      </c>
      <c r="I17" s="1059" t="n"/>
      <c r="J17" s="1060" t="n"/>
    </row>
    <row r="18">
      <c r="A18" s="237" t="n"/>
      <c r="B18" s="237" t="n"/>
      <c r="C18" s="1056" t="n"/>
      <c r="D18" s="1072" t="n"/>
      <c r="E18" s="417" t="inlineStr">
        <is>
          <t>Costo de adquisición</t>
        </is>
      </c>
      <c r="F18" s="418" t="n"/>
      <c r="G18" s="237" t="n"/>
      <c r="H18" s="1063" t="n"/>
      <c r="J18" s="1064" t="n"/>
    </row>
    <row r="19">
      <c r="A19" s="237" t="n"/>
      <c r="B19" s="237" t="n"/>
      <c r="C19" s="1056" t="n"/>
      <c r="D19" s="1072" t="n"/>
      <c r="E19" s="417" t="inlineStr">
        <is>
          <t>Fecha de compra</t>
        </is>
      </c>
      <c r="F19" s="1065" t="n"/>
      <c r="G19" s="237" t="n"/>
      <c r="H19" s="1063" t="n"/>
      <c r="J19" s="1064" t="n"/>
    </row>
    <row r="20">
      <c r="A20" s="237" t="n"/>
      <c r="B20" s="237" t="n"/>
      <c r="C20" s="1056" t="n"/>
      <c r="D20" s="1072" t="n"/>
      <c r="E20" s="417" t="inlineStr">
        <is>
          <t>Fecha de venta</t>
        </is>
      </c>
      <c r="F20" s="1065" t="n"/>
      <c r="G20" s="237" t="n"/>
      <c r="H20" s="1063" t="n"/>
      <c r="J20" s="1064" t="n"/>
    </row>
    <row r="21">
      <c r="A21" s="237" t="n"/>
      <c r="B21" s="237" t="n"/>
      <c r="C21" s="1056" t="n"/>
      <c r="D21" s="1072" t="n"/>
      <c r="E21" s="420" t="inlineStr">
        <is>
          <t>Costo fiscal reajustado</t>
        </is>
      </c>
      <c r="F21" s="418">
        <f>+'REAJUST FISCAL'!F117</f>
        <v/>
      </c>
      <c r="G21" s="237" t="n"/>
      <c r="H21" s="1063" t="n"/>
      <c r="J21" s="1064" t="n"/>
    </row>
    <row r="22">
      <c r="A22" s="237" t="n"/>
      <c r="B22" s="237" t="n"/>
      <c r="C22" s="1056" t="n"/>
      <c r="D22" s="1072" t="n"/>
      <c r="E22" s="420" t="inlineStr">
        <is>
          <t>(+) mejoras en el año de la venta</t>
        </is>
      </c>
      <c r="F22" s="158" t="n"/>
      <c r="G22" s="237" t="n"/>
      <c r="H22" s="1063" t="n"/>
      <c r="J22" s="1064" t="n"/>
    </row>
    <row r="23">
      <c r="A23" s="237" t="n"/>
      <c r="B23" s="237" t="n"/>
      <c r="C23" s="1056" t="n"/>
      <c r="D23" s="1072" t="n"/>
      <c r="E23" s="420" t="inlineStr">
        <is>
          <t>(+) Valorización en el año de la venta</t>
        </is>
      </c>
      <c r="F23" s="158" t="n"/>
      <c r="G23" s="970" t="n"/>
      <c r="H23" s="1068" t="n"/>
      <c r="I23" s="1069" t="n"/>
      <c r="J23" s="1070" t="n"/>
    </row>
    <row r="24">
      <c r="A24" s="237" t="n"/>
      <c r="B24" s="237" t="n"/>
      <c r="C24" s="1056" t="n"/>
      <c r="D24" s="1072" t="n"/>
      <c r="E24" s="417" t="inlineStr">
        <is>
          <t>Costo de adquisición</t>
        </is>
      </c>
      <c r="F24" s="422" t="n"/>
      <c r="G24" s="831">
        <f>IF(ROUND(SUM(F28+F29+F30),-3)&gt;D17,D17,ROUND(SUM(F28+F29+F30),-3))</f>
        <v/>
      </c>
      <c r="H24" s="814" t="inlineStr">
        <is>
          <t>Diligencie esta sección solo si en año anterior el valor patrimonial lo determino de acuerdo al art. 73 E.T.</t>
        </is>
      </c>
      <c r="I24" s="1059" t="n"/>
      <c r="J24" s="1060" t="n"/>
    </row>
    <row r="25">
      <c r="A25" s="237" t="n"/>
      <c r="B25" s="237" t="n"/>
      <c r="C25" s="1056" t="n"/>
      <c r="D25" s="1072" t="n"/>
      <c r="E25" s="417" t="inlineStr">
        <is>
          <t>Bines raices o acciones o aportes</t>
        </is>
      </c>
      <c r="F25" s="423" t="inlineStr">
        <is>
          <t>Bienes urbanos</t>
        </is>
      </c>
      <c r="G25" s="237" t="n"/>
      <c r="H25" s="1063" t="n"/>
      <c r="J25" s="1064" t="n"/>
    </row>
    <row r="26">
      <c r="A26" s="237" t="n"/>
      <c r="B26" s="237" t="n"/>
      <c r="C26" s="1056" t="n"/>
      <c r="D26" s="1072" t="n"/>
      <c r="E26" s="417" t="inlineStr">
        <is>
          <t>Año de adquisición</t>
        </is>
      </c>
      <c r="F26" s="423" t="n">
        <v>2021</v>
      </c>
      <c r="G26" s="237" t="n"/>
      <c r="H26" s="1063" t="n"/>
      <c r="J26" s="1064" t="n"/>
    </row>
    <row r="27" ht="45" customHeight="1">
      <c r="A27" s="237" t="n"/>
      <c r="B27" s="237" t="n"/>
      <c r="C27" s="1056" t="n"/>
      <c r="D27" s="1072" t="n"/>
      <c r="E27" s="420" t="inlineStr">
        <is>
          <t>Ajuste incremento porcentual del v/r. de la propiedad raíz entre el año de la compra y el año de la venta</t>
        </is>
      </c>
      <c r="F27" s="424">
        <f>IF(G.OCAS!F25="Acciones y aportes",VLOOKUP(G.OCAS!F26,Sheet1!$B$5:$F$75,2),IF(G.OCAS!F25="BIENES URBANOS",VLOOKUP(G.OCAS!F26,Sheet1!$B$5:$F$75,3),IF(G.OCAS!F25="BIENES RURALES",VLOOKUP(G.OCAS!F26,Sheet1!$B$5:$F$75,5),IF(G.OCAS!F25="Bienes Raíces Rurales dedicados a actividades agropecuarias",VLOOKUP(G.OCAS!F26,Sheet1!$B$5:$F$75,4),0))))</f>
        <v/>
      </c>
      <c r="G27" s="237" t="n"/>
      <c r="H27" s="1063" t="n"/>
      <c r="J27" s="1064" t="n"/>
    </row>
    <row r="28">
      <c r="A28" s="237" t="n"/>
      <c r="B28" s="237" t="n"/>
      <c r="C28" s="1056" t="n"/>
      <c r="D28" s="1072" t="n"/>
      <c r="E28" s="417" t="inlineStr">
        <is>
          <t>Costo reajustado</t>
        </is>
      </c>
      <c r="F28" s="418">
        <f>+F24*F27</f>
        <v/>
      </c>
      <c r="G28" s="237" t="n"/>
      <c r="H28" s="1063" t="n"/>
      <c r="J28" s="1064" t="n"/>
    </row>
    <row r="29">
      <c r="A29" s="237" t="n"/>
      <c r="B29" s="237" t="n"/>
      <c r="C29" s="1056" t="n"/>
      <c r="D29" s="1072" t="n"/>
      <c r="E29" s="420" t="inlineStr">
        <is>
          <t>(+) mejoras</t>
        </is>
      </c>
      <c r="F29" s="418" t="n"/>
      <c r="G29" s="237" t="n"/>
      <c r="H29" s="1063" t="n"/>
      <c r="J29" s="1064" t="n"/>
    </row>
    <row r="30">
      <c r="A30" s="237" t="n"/>
      <c r="B30" s="970" t="n"/>
      <c r="C30" s="1073" t="n"/>
      <c r="D30" s="1074" t="n"/>
      <c r="E30" s="420" t="inlineStr">
        <is>
          <t>(+) Valorización</t>
        </is>
      </c>
      <c r="F30" s="418" t="n"/>
      <c r="G30" s="970" t="n"/>
      <c r="H30" s="1068" t="n"/>
      <c r="I30" s="1069" t="n"/>
      <c r="J30" s="1070" t="n"/>
    </row>
    <row r="31" ht="30" customHeight="1">
      <c r="A31" s="237" t="n"/>
      <c r="B31" s="832" t="inlineStr">
        <is>
          <t>Venta casa habitación</t>
        </is>
      </c>
      <c r="C31" s="833" t="n">
        <v>0</v>
      </c>
      <c r="D31" s="835" t="n">
        <v>0</v>
      </c>
      <c r="E31" s="417" t="inlineStr">
        <is>
          <t>Costo Fiscal año anterior (Avaluo catastral o autoavaluo art. 72 E.T.)</t>
        </is>
      </c>
      <c r="F31" s="418" t="n">
        <v>0</v>
      </c>
      <c r="G31" s="830">
        <f>IF(ROUND(SUM(F31+F35+F36+F37),-3)&gt;D31,D31,ROUND(SUM(F31+F35+F36+F37),-3))</f>
        <v/>
      </c>
      <c r="H31" s="815" t="inlineStr">
        <is>
          <t>Diligencie esta sección solo si en año anterior el VALOR PATRIMONIAL fue determinado con el valor del predial o si desea determinar el costo de la ganancia ocasional con el valor de compra más reajustes fiscales</t>
        </is>
      </c>
      <c r="I31" s="1059" t="n"/>
      <c r="J31" s="1060" t="n"/>
    </row>
    <row r="32">
      <c r="A32" s="237" t="n"/>
      <c r="B32" s="237" t="n"/>
      <c r="C32" s="1056" t="n"/>
      <c r="D32" s="1072" t="n"/>
      <c r="E32" s="417" t="inlineStr">
        <is>
          <t>Costo de adquisición</t>
        </is>
      </c>
      <c r="F32" s="418" t="n">
        <v>0</v>
      </c>
      <c r="G32" s="237" t="n"/>
      <c r="H32" s="1063" t="n"/>
      <c r="J32" s="1064" t="n"/>
    </row>
    <row r="33">
      <c r="A33" s="237" t="n"/>
      <c r="B33" s="237" t="n"/>
      <c r="C33" s="1056" t="n"/>
      <c r="D33" s="1072" t="n"/>
      <c r="E33" s="417" t="inlineStr">
        <is>
          <t>Fecha de compra</t>
        </is>
      </c>
      <c r="F33" s="1065" t="n">
        <v>44576</v>
      </c>
      <c r="G33" s="237" t="n"/>
      <c r="H33" s="1063" t="n"/>
      <c r="J33" s="1064" t="n"/>
    </row>
    <row r="34">
      <c r="A34" s="237" t="n"/>
      <c r="B34" s="237" t="n"/>
      <c r="C34" s="1056" t="n"/>
      <c r="D34" s="1072" t="n"/>
      <c r="E34" s="417" t="inlineStr">
        <is>
          <t>Fecha de venta</t>
        </is>
      </c>
      <c r="F34" s="1065" t="n">
        <v>45321</v>
      </c>
      <c r="G34" s="237" t="n"/>
      <c r="H34" s="1063" t="n"/>
      <c r="J34" s="1064" t="n"/>
    </row>
    <row r="35">
      <c r="A35" s="237" t="n"/>
      <c r="B35" s="237" t="n"/>
      <c r="C35" s="1056" t="n"/>
      <c r="D35" s="1072" t="n"/>
      <c r="E35" s="420" t="inlineStr">
        <is>
          <t>Costo fiscal reajustado</t>
        </is>
      </c>
      <c r="F35" s="1075" t="n"/>
      <c r="G35" s="237" t="n"/>
      <c r="H35" s="1063" t="n"/>
      <c r="J35" s="1064" t="n"/>
    </row>
    <row r="36">
      <c r="A36" s="237" t="n"/>
      <c r="B36" s="237" t="n"/>
      <c r="C36" s="1056" t="n"/>
      <c r="D36" s="1072" t="n"/>
      <c r="E36" s="420" t="inlineStr">
        <is>
          <t>(+) mejoras en el año de la venta</t>
        </is>
      </c>
      <c r="F36" s="1075" t="n"/>
      <c r="G36" s="237" t="n"/>
      <c r="H36" s="1063" t="n"/>
      <c r="J36" s="1064" t="n"/>
    </row>
    <row r="37">
      <c r="A37" s="237" t="n"/>
      <c r="B37" s="237" t="n"/>
      <c r="C37" s="1056" t="n"/>
      <c r="D37" s="1072" t="n"/>
      <c r="E37" s="420" t="inlineStr">
        <is>
          <t>(+) Valorización en el año de la venta</t>
        </is>
      </c>
      <c r="F37" s="158" t="n"/>
      <c r="G37" s="970" t="n"/>
      <c r="H37" s="1068" t="n"/>
      <c r="I37" s="1069" t="n"/>
      <c r="J37" s="1070" t="n"/>
    </row>
    <row r="38" ht="28" customHeight="1">
      <c r="A38" s="237" t="n"/>
      <c r="B38" s="237" t="n"/>
      <c r="C38" s="1056" t="n"/>
      <c r="D38" s="1072" t="n"/>
      <c r="E38" s="417" t="inlineStr">
        <is>
          <t>Costo de adquisición</t>
        </is>
      </c>
      <c r="F38" s="422" t="n">
        <v>0</v>
      </c>
      <c r="G38" s="831">
        <f>IF(ROUND(SUM(F42+F43+F44),-3)&gt;D31,D31,ROUND(SUM(F42+F43+F44),-3))</f>
        <v/>
      </c>
      <c r="H38" s="814" t="inlineStr">
        <is>
          <t>Diligencie esta sección solo si en año anterior el valor patrimonial lo determino de acuerdo al art. 73 E.T.</t>
        </is>
      </c>
      <c r="I38" s="1059" t="n"/>
      <c r="J38" s="1060" t="n"/>
    </row>
    <row r="39">
      <c r="A39" s="237" t="n"/>
      <c r="B39" s="237" t="n"/>
      <c r="C39" s="1056" t="n"/>
      <c r="D39" s="1072" t="n"/>
      <c r="E39" s="417" t="inlineStr">
        <is>
          <t>Bines raices o acciones o aportes</t>
        </is>
      </c>
      <c r="F39" s="423" t="inlineStr">
        <is>
          <t>Bienes urbanos</t>
        </is>
      </c>
      <c r="G39" s="237" t="n"/>
      <c r="H39" s="1063" t="n"/>
      <c r="J39" s="1064" t="n"/>
    </row>
    <row r="40">
      <c r="A40" s="237" t="n"/>
      <c r="B40" s="237" t="n"/>
      <c r="C40" s="1056" t="n"/>
      <c r="D40" s="1072" t="n"/>
      <c r="E40" s="417" t="inlineStr">
        <is>
          <t>Año de adquisición</t>
        </is>
      </c>
      <c r="F40" s="423" t="n">
        <v>2021</v>
      </c>
      <c r="G40" s="237" t="n"/>
      <c r="H40" s="1063" t="n"/>
      <c r="J40" s="1064" t="n"/>
    </row>
    <row r="41" ht="45" customHeight="1">
      <c r="A41" s="237" t="n"/>
      <c r="B41" s="237" t="n"/>
      <c r="C41" s="1056" t="n"/>
      <c r="D41" s="1072" t="n"/>
      <c r="E41" s="420" t="inlineStr">
        <is>
          <t>Ajuste incremento porcentual del v/r. de la propiedad raíz entre el año de la compra y el año de la venta</t>
        </is>
      </c>
      <c r="F41" s="424">
        <f>IF(G.OCAS!F39="Acciones y aportes",VLOOKUP(G.OCAS!F40,Sheet1!$B$5:$F$75,2),IF(G.OCAS!F39="BIENES URBANOS",VLOOKUP(G.OCAS!F40,Sheet1!$B$5:$F$75,3),IF(G.OCAS!F39="BIENES RURALES",VLOOKUP(G.OCAS!F40,Sheet1!$B$5:$F$75,5),IF(G.OCAS!F39="Bienes Raíces Rurales dedicados a actividades agropecuarias",VLOOKUP(G.OCAS!F40,Sheet1!$B$5:$F$75,4),0))))</f>
        <v/>
      </c>
      <c r="G41" s="237" t="n"/>
      <c r="H41" s="1063" t="n"/>
      <c r="J41" s="1064" t="n"/>
    </row>
    <row r="42">
      <c r="A42" s="237" t="n"/>
      <c r="B42" s="237" t="n"/>
      <c r="C42" s="1056" t="n"/>
      <c r="D42" s="1072" t="n"/>
      <c r="E42" s="417" t="inlineStr">
        <is>
          <t>Costo reajustado</t>
        </is>
      </c>
      <c r="F42" s="418">
        <f>+F38*F41</f>
        <v/>
      </c>
      <c r="G42" s="237" t="n"/>
      <c r="H42" s="1063" t="n"/>
      <c r="J42" s="1064" t="n"/>
    </row>
    <row r="43">
      <c r="A43" s="237" t="n"/>
      <c r="B43" s="237" t="n"/>
      <c r="C43" s="1056" t="n"/>
      <c r="D43" s="1072" t="n"/>
      <c r="E43" s="420" t="inlineStr">
        <is>
          <t>(+) mejoras</t>
        </is>
      </c>
      <c r="F43" s="418" t="n"/>
      <c r="G43" s="237" t="n"/>
      <c r="H43" s="1063" t="n"/>
      <c r="J43" s="1064" t="n"/>
    </row>
    <row r="44">
      <c r="A44" s="237" t="n"/>
      <c r="B44" s="970" t="n"/>
      <c r="C44" s="1056" t="n"/>
      <c r="D44" s="1072" t="n"/>
      <c r="E44" s="420" t="inlineStr">
        <is>
          <t>(+) Valorización</t>
        </is>
      </c>
      <c r="F44" s="418" t="n"/>
      <c r="G44" s="970" t="n"/>
      <c r="H44" s="1068" t="n"/>
      <c r="I44" s="1069" t="n"/>
      <c r="J44" s="1070" t="n"/>
    </row>
    <row r="45">
      <c r="A45" s="237" t="n"/>
      <c r="B45" s="832" t="n"/>
      <c r="C45" s="826" t="inlineStr">
        <is>
          <t>Valor castastral o autovaluo año venta (2022)</t>
        </is>
      </c>
      <c r="D45" s="971" t="n"/>
      <c r="E45" s="971" t="n"/>
      <c r="F45" s="967" t="n"/>
      <c r="G45" s="279" t="n"/>
    </row>
    <row r="46">
      <c r="A46" s="237" t="n"/>
      <c r="B46" s="832" t="inlineStr">
        <is>
          <t>Herencias</t>
        </is>
      </c>
      <c r="C46" s="280" t="inlineStr">
        <is>
          <t>Inmueble de vivienda del causante</t>
        </is>
      </c>
      <c r="D46" s="281" t="n"/>
      <c r="E46" s="276" t="n"/>
      <c r="F46" s="276" t="n"/>
      <c r="G46" s="837" t="n"/>
    </row>
    <row r="47" ht="30" customHeight="1">
      <c r="A47" s="237" t="n"/>
      <c r="B47" s="237" t="n"/>
      <c r="C47" s="280" t="inlineStr">
        <is>
          <t>Demás inmuebles diferentes al de la vivienda del causante</t>
        </is>
      </c>
      <c r="D47" s="281" t="n"/>
      <c r="E47" s="276" t="n"/>
      <c r="F47" s="276" t="n"/>
      <c r="G47" s="237" t="n"/>
    </row>
    <row r="48">
      <c r="A48" s="237" t="n"/>
      <c r="B48" s="237" t="n"/>
      <c r="C48" s="280" t="inlineStr">
        <is>
          <t>Acciones</t>
        </is>
      </c>
      <c r="D48" s="281" t="n"/>
      <c r="E48" s="276" t="n"/>
      <c r="F48" s="276" t="n"/>
      <c r="G48" s="237" t="n"/>
    </row>
    <row r="49">
      <c r="A49" s="237" t="n"/>
      <c r="B49" s="237" t="n"/>
      <c r="C49" s="280" t="inlineStr">
        <is>
          <t>Joyas</t>
        </is>
      </c>
      <c r="D49" s="281" t="n"/>
      <c r="E49" s="276" t="n"/>
      <c r="F49" s="276" t="n"/>
      <c r="G49" s="237" t="n"/>
    </row>
    <row r="50">
      <c r="A50" s="237" t="n"/>
      <c r="B50" s="237" t="n"/>
      <c r="C50" s="280" t="inlineStr">
        <is>
          <t>Vehículo</t>
        </is>
      </c>
      <c r="D50" s="281" t="n"/>
      <c r="E50" s="276" t="n"/>
      <c r="F50" s="276" t="n"/>
      <c r="G50" s="237" t="n"/>
    </row>
    <row r="51">
      <c r="A51" s="237" t="n"/>
      <c r="B51" s="237" t="n"/>
      <c r="C51" s="280" t="inlineStr">
        <is>
          <t>Etc.</t>
        </is>
      </c>
      <c r="D51" s="281" t="n"/>
      <c r="E51" s="276" t="n"/>
      <c r="F51" s="276" t="n"/>
      <c r="G51" s="237" t="n"/>
    </row>
    <row r="52">
      <c r="A52" s="237" t="n"/>
      <c r="B52" s="237" t="n"/>
      <c r="C52" s="280" t="inlineStr">
        <is>
          <t>Etc.</t>
        </is>
      </c>
      <c r="D52" s="281" t="n"/>
      <c r="E52" s="276" t="n"/>
      <c r="F52" s="276" t="n"/>
      <c r="G52" s="237" t="n"/>
    </row>
    <row r="53">
      <c r="A53" s="237" t="n"/>
      <c r="B53" s="970" t="n"/>
      <c r="C53" s="280" t="inlineStr">
        <is>
          <t>Etc.</t>
        </is>
      </c>
      <c r="D53" s="281" t="n"/>
      <c r="E53" s="276" t="n"/>
      <c r="F53" s="276" t="n"/>
      <c r="G53" s="970" t="n"/>
    </row>
    <row r="54">
      <c r="A54" s="237" t="n"/>
      <c r="B54" s="832" t="inlineStr">
        <is>
          <t>Porción conyugal</t>
        </is>
      </c>
      <c r="C54" s="158" t="n"/>
      <c r="D54" s="281" t="n"/>
      <c r="E54" s="837" t="n"/>
      <c r="F54" s="837" t="n"/>
      <c r="G54" s="837" t="n"/>
    </row>
    <row r="55">
      <c r="A55" s="237" t="n"/>
      <c r="B55" s="237" t="n"/>
      <c r="C55" s="158" t="n"/>
      <c r="D55" s="281" t="n"/>
      <c r="E55" s="237" t="n"/>
      <c r="F55" s="237" t="n"/>
      <c r="G55" s="237" t="n"/>
    </row>
    <row r="56">
      <c r="A56" s="237" t="n"/>
      <c r="B56" s="970" t="n"/>
      <c r="C56" s="158" t="n"/>
      <c r="D56" s="281" t="n"/>
      <c r="E56" s="970" t="n"/>
      <c r="F56" s="970" t="n"/>
      <c r="G56" s="970" t="n"/>
    </row>
    <row r="57">
      <c r="A57" s="237" t="n"/>
      <c r="B57" s="832" t="inlineStr">
        <is>
          <t>Legado</t>
        </is>
      </c>
      <c r="C57" s="158" t="n"/>
      <c r="D57" s="281" t="n"/>
      <c r="E57" s="837" t="n"/>
      <c r="F57" s="837" t="n"/>
      <c r="G57" s="837" t="n"/>
    </row>
    <row r="58">
      <c r="A58" s="237" t="n"/>
      <c r="B58" s="237" t="n"/>
      <c r="C58" s="158" t="n"/>
      <c r="D58" s="281" t="n"/>
      <c r="E58" s="237" t="n"/>
      <c r="F58" s="237" t="n"/>
      <c r="G58" s="237" t="n"/>
    </row>
    <row r="59">
      <c r="A59" s="237" t="n"/>
      <c r="B59" s="970" t="n"/>
      <c r="C59" s="277" t="n"/>
      <c r="D59" s="282" t="n"/>
      <c r="E59" s="970" t="n"/>
      <c r="F59" s="970" t="n"/>
      <c r="G59" s="970" t="n"/>
    </row>
    <row r="60">
      <c r="A60" s="237" t="n"/>
      <c r="B60" s="832" t="inlineStr">
        <is>
          <t>Donaciones y otros Actos</t>
        </is>
      </c>
      <c r="C60" s="277" t="n"/>
      <c r="D60" s="282" t="n"/>
      <c r="E60" s="837" t="n"/>
      <c r="F60" s="837" t="n"/>
      <c r="G60" s="837" t="n"/>
    </row>
    <row r="61">
      <c r="A61" s="237" t="n"/>
      <c r="B61" s="237" t="n"/>
      <c r="C61" s="277" t="inlineStr">
        <is>
          <t>Nuda propiedad</t>
        </is>
      </c>
      <c r="D61" s="282" t="n"/>
      <c r="E61" s="837" t="n"/>
      <c r="F61" s="837" t="n"/>
      <c r="G61" s="837" t="n"/>
    </row>
    <row r="62">
      <c r="A62" s="237" t="n"/>
      <c r="B62" s="970" t="n"/>
      <c r="C62" s="277" t="n"/>
      <c r="D62" s="282" t="n"/>
      <c r="E62" s="837" t="n"/>
      <c r="F62" s="837" t="n"/>
      <c r="G62" s="837" t="n"/>
    </row>
    <row r="63">
      <c r="A63" s="237" t="n"/>
      <c r="B63" s="832" t="inlineStr">
        <is>
          <t>Loterias, rifas, chances</t>
        </is>
      </c>
      <c r="C63" s="158" t="n"/>
      <c r="D63" s="281" t="n"/>
      <c r="E63" s="837" t="n"/>
      <c r="F63" s="837" t="n"/>
      <c r="G63" s="837" t="n"/>
    </row>
    <row r="64">
      <c r="A64" s="237" t="n"/>
      <c r="B64" s="237" t="n"/>
      <c r="C64" s="158" t="n"/>
      <c r="D64" s="281" t="n"/>
      <c r="E64" s="237" t="n"/>
      <c r="F64" s="237" t="n"/>
      <c r="G64" s="237" t="n"/>
    </row>
    <row r="65">
      <c r="A65" s="237" t="n"/>
      <c r="B65" s="237" t="n"/>
      <c r="C65" s="158" t="n"/>
      <c r="D65" s="281" t="n"/>
      <c r="E65" s="237" t="n"/>
      <c r="F65" s="237" t="n"/>
      <c r="G65" s="237" t="n"/>
    </row>
    <row r="66">
      <c r="A66" s="237" t="n"/>
      <c r="B66" s="970" t="n"/>
      <c r="C66" s="158" t="n"/>
      <c r="D66" s="281" t="n"/>
      <c r="E66" s="970" t="n"/>
      <c r="F66" s="970" t="n"/>
      <c r="G66" s="970" t="n"/>
    </row>
    <row r="67">
      <c r="A67" s="237" t="n"/>
      <c r="B67" s="854" t="inlineStr">
        <is>
          <t>Ingreso por ganancia ocasional al 15%</t>
        </is>
      </c>
      <c r="C67" s="967" t="n"/>
      <c r="D67" s="284">
        <f>ROUND(SUM(D3:D62),-3)</f>
        <v/>
      </c>
      <c r="E67" s="855" t="inlineStr">
        <is>
          <t>Total costo por ganancia ocasional</t>
        </is>
      </c>
      <c r="F67" s="959" t="n"/>
      <c r="G67" s="856">
        <f>ROUND(SUM(G3:G44),-3)</f>
        <v/>
      </c>
    </row>
    <row r="68">
      <c r="A68" s="237" t="n"/>
      <c r="B68" s="854" t="inlineStr">
        <is>
          <t>Ingreso por ganancia ocasional al 20%</t>
        </is>
      </c>
      <c r="C68" s="967" t="n"/>
      <c r="D68" s="284">
        <f>ROUND(SUM(D63:D66),-3)</f>
        <v/>
      </c>
      <c r="E68" s="961" t="n"/>
      <c r="F68" s="962" t="n"/>
      <c r="G68" s="237" t="n"/>
    </row>
    <row r="69">
      <c r="A69" s="970" t="n"/>
      <c r="B69" s="857" t="inlineStr">
        <is>
          <t>Total ingreso por ganancia ocasional</t>
        </is>
      </c>
      <c r="C69" s="967" t="n"/>
      <c r="D69" s="285">
        <f>SUM(D67:D68)</f>
        <v/>
      </c>
      <c r="E69" s="963" t="n"/>
      <c r="F69" s="965" t="n"/>
      <c r="G69" s="970" t="n"/>
    </row>
    <row r="71" ht="19" customHeight="1" thickBot="1"/>
    <row r="72" ht="19" customHeight="1" thickBot="1">
      <c r="A72" s="1076" t="inlineStr">
        <is>
          <t>GANANCIAS OCASIONALES  EXENTAS</t>
        </is>
      </c>
      <c r="B72" s="1077" t="n"/>
      <c r="C72" s="1077" t="n"/>
      <c r="D72" s="1077" t="n"/>
      <c r="E72" s="1077" t="n"/>
      <c r="F72" s="1077" t="n"/>
      <c r="G72" s="1077" t="n"/>
      <c r="H72" s="1078" t="n"/>
    </row>
    <row r="73" ht="42" customHeight="1">
      <c r="A73" s="844" t="inlineStr">
        <is>
          <t>Renglón 115</t>
        </is>
      </c>
      <c r="B73" s="962" t="n"/>
      <c r="C73" s="1079" t="inlineStr">
        <is>
          <t>Concepto</t>
        </is>
      </c>
      <c r="D73" s="1080" t="n"/>
      <c r="E73" s="1080" t="inlineStr">
        <is>
          <t>Porción conyugal</t>
        </is>
      </c>
      <c r="F73" s="1080" t="inlineStr">
        <is>
          <t>Legado</t>
        </is>
      </c>
      <c r="G73" s="1080" t="inlineStr">
        <is>
          <t>Donaciones y otros actos jurídico intervivos</t>
        </is>
      </c>
      <c r="H73" s="1079" t="inlineStr">
        <is>
          <t>Venta casa habitación</t>
        </is>
      </c>
    </row>
    <row r="74">
      <c r="B74" s="962" t="n"/>
      <c r="C74" s="1081" t="inlineStr">
        <is>
          <t>Total ingresos por G.O.</t>
        </is>
      </c>
      <c r="D74" s="290">
        <f>ROUND(SUM(D46:D53),-3)</f>
        <v/>
      </c>
      <c r="E74" s="290">
        <f>ROUND(SUM(D54:D56),-3)</f>
        <v/>
      </c>
      <c r="F74" s="290">
        <f>ROUND(SUM(D57:D59),-3)</f>
        <v/>
      </c>
      <c r="G74" s="290">
        <f>ROUND(SUM(D60:D62),-3)</f>
        <v/>
      </c>
      <c r="H74" s="291">
        <f>ROUND(SUM(D31),-3)</f>
        <v/>
      </c>
    </row>
    <row r="75">
      <c r="B75" s="962" t="n"/>
      <c r="C75" s="1081" t="inlineStr">
        <is>
          <t>Total costo por G.O.</t>
        </is>
      </c>
      <c r="D75" s="290" t="inlineStr">
        <is>
          <t>N/A</t>
        </is>
      </c>
      <c r="E75" s="290" t="inlineStr">
        <is>
          <t>N/A</t>
        </is>
      </c>
      <c r="F75" s="290" t="inlineStr">
        <is>
          <t>N/A</t>
        </is>
      </c>
      <c r="G75" s="290" t="inlineStr">
        <is>
          <t>N/A</t>
        </is>
      </c>
      <c r="H75" s="291">
        <f>ROUND(SUM(G31:G44),-3)</f>
        <v/>
      </c>
    </row>
    <row r="76">
      <c r="B76" s="962" t="n"/>
      <c r="C76" s="1081" t="inlineStr">
        <is>
          <t>Ganancia ocasional inicial</t>
        </is>
      </c>
      <c r="D76" s="290">
        <f>+D74</f>
        <v/>
      </c>
      <c r="E76" s="290">
        <f>+E74</f>
        <v/>
      </c>
      <c r="F76" s="290">
        <f>+F74</f>
        <v/>
      </c>
      <c r="G76" s="290">
        <f>+G74</f>
        <v/>
      </c>
      <c r="H76" s="290">
        <f>H74-H75</f>
        <v/>
      </c>
    </row>
    <row r="77">
      <c r="B77" s="962" t="n"/>
      <c r="C77" s="1081" t="inlineStr">
        <is>
          <t>Indique el numero de legitimarios</t>
        </is>
      </c>
      <c r="D77" s="292" t="n">
        <v>1</v>
      </c>
      <c r="E77" s="293" t="inlineStr">
        <is>
          <t>N/A</t>
        </is>
      </c>
      <c r="F77" s="293" t="inlineStr">
        <is>
          <t>N/A</t>
        </is>
      </c>
      <c r="G77" s="293" t="inlineStr">
        <is>
          <t>N/A</t>
        </is>
      </c>
      <c r="H77" s="293" t="inlineStr">
        <is>
          <t>N/A</t>
        </is>
      </c>
    </row>
    <row r="78">
      <c r="B78" s="962" t="n"/>
      <c r="C78" s="294" t="inlineStr">
        <is>
          <t>g.o. exenta num. 1 art. 307 E.T.</t>
        </is>
      </c>
      <c r="D78" s="293">
        <f>IF(MAX(D46)&gt;E84,E84,MAX(D46))</f>
        <v/>
      </c>
      <c r="E78" s="293" t="inlineStr">
        <is>
          <t>N/A</t>
        </is>
      </c>
      <c r="F78" s="293" t="inlineStr">
        <is>
          <t>N/A</t>
        </is>
      </c>
      <c r="G78" s="293" t="inlineStr">
        <is>
          <t>N/A</t>
        </is>
      </c>
      <c r="H78" s="293" t="inlineStr">
        <is>
          <t>N/A</t>
        </is>
      </c>
    </row>
    <row r="79">
      <c r="B79" s="962" t="n"/>
      <c r="C79" s="294" t="inlineStr">
        <is>
          <t>g.o. exenta num. 2 art. 307 E.T.</t>
        </is>
      </c>
      <c r="D79" s="293">
        <f>IF(MAX(D47)&gt;E85,E85,MAX(D47))</f>
        <v/>
      </c>
      <c r="E79" s="293" t="inlineStr">
        <is>
          <t>N/A</t>
        </is>
      </c>
      <c r="F79" s="293" t="inlineStr">
        <is>
          <t>N/A</t>
        </is>
      </c>
      <c r="G79" s="293" t="inlineStr">
        <is>
          <t>N/A</t>
        </is>
      </c>
      <c r="H79" s="293" t="inlineStr">
        <is>
          <t>N/A</t>
        </is>
      </c>
    </row>
    <row r="80">
      <c r="B80" s="962" t="n"/>
      <c r="C80" s="294" t="inlineStr">
        <is>
          <t>g.o. exenta num. 3 art. 307 E.T.</t>
        </is>
      </c>
      <c r="D80" s="1082">
        <f>MIN(D76+E76+F76-D78-D79,E86)</f>
        <v/>
      </c>
      <c r="E80" s="971" t="n"/>
      <c r="F80" s="967" t="n"/>
      <c r="G80" s="293" t="inlineStr">
        <is>
          <t>N/A</t>
        </is>
      </c>
      <c r="H80" s="293" t="inlineStr">
        <is>
          <t>N/A</t>
        </is>
      </c>
    </row>
    <row r="81">
      <c r="B81" s="962" t="n"/>
      <c r="C81" s="294" t="inlineStr">
        <is>
          <t>g.o. exenta num. 4 art. 307 E.T. 20% maximo 1.625 uvt</t>
        </is>
      </c>
      <c r="D81" s="293" t="inlineStr">
        <is>
          <t>N/A</t>
        </is>
      </c>
      <c r="E81" s="293" t="inlineStr">
        <is>
          <t>N/A</t>
        </is>
      </c>
      <c r="F81" s="293" t="inlineStr">
        <is>
          <t>N/A</t>
        </is>
      </c>
      <c r="G81" s="295">
        <f>MIN(E87,G74*20%)</f>
        <v/>
      </c>
      <c r="H81" s="293" t="inlineStr">
        <is>
          <t>N/A</t>
        </is>
      </c>
    </row>
    <row r="82">
      <c r="B82" s="962" t="n"/>
      <c r="C82" s="296" t="inlineStr">
        <is>
          <t>g.o. exenta art. 311-1 E.T.</t>
        </is>
      </c>
      <c r="D82" s="293" t="inlineStr">
        <is>
          <t>N/A</t>
        </is>
      </c>
      <c r="E82" s="293" t="inlineStr">
        <is>
          <t>N/A</t>
        </is>
      </c>
      <c r="F82" s="293" t="inlineStr">
        <is>
          <t>N/A</t>
        </is>
      </c>
      <c r="G82" s="293" t="inlineStr">
        <is>
          <t>N/A</t>
        </is>
      </c>
      <c r="H82" s="295">
        <f>IF(H76&gt;E88,E88,H76)</f>
        <v/>
      </c>
    </row>
    <row r="83">
      <c r="B83" s="962" t="n"/>
      <c r="C83" s="297" t="inlineStr">
        <is>
          <t>Total ganancias ocasionales exentas</t>
        </is>
      </c>
      <c r="D83" s="1083">
        <f>ROUND((D78+D79+D80+G81+H82),-3)</f>
        <v/>
      </c>
      <c r="E83" s="971" t="n"/>
      <c r="F83" s="971" t="n"/>
      <c r="G83" s="971" t="n"/>
      <c r="H83" s="967" t="n"/>
    </row>
    <row r="84">
      <c r="B84" s="962" t="n"/>
      <c r="C84" s="298" t="inlineStr">
        <is>
          <t>g.o. exenta num. 1 art. 307 E.T.</t>
        </is>
      </c>
      <c r="D84" s="1084" t="n">
        <v>13000</v>
      </c>
      <c r="E84" s="1084">
        <f>D84*$E$89</f>
        <v/>
      </c>
      <c r="F84" s="300">
        <f>E84/D77</f>
        <v/>
      </c>
      <c r="G84" s="168" t="n"/>
      <c r="H84" s="168" t="n"/>
    </row>
    <row r="85">
      <c r="B85" s="962" t="n"/>
      <c r="C85" s="294" t="inlineStr">
        <is>
          <t>g.o. exenta num. 2 art. 307 E.T.</t>
        </is>
      </c>
      <c r="D85" s="1085" t="n">
        <v>6500</v>
      </c>
      <c r="E85" s="1085">
        <f>D85*$E$89</f>
        <v/>
      </c>
      <c r="F85" s="302" t="n"/>
      <c r="G85" s="168" t="n"/>
      <c r="H85" s="168" t="n"/>
    </row>
    <row r="86">
      <c r="B86" s="962" t="n"/>
      <c r="C86" s="294" t="inlineStr">
        <is>
          <t>g.o. exenta num. 3 art. 307 E.T.</t>
        </is>
      </c>
      <c r="D86" s="1085" t="n">
        <v>3250</v>
      </c>
      <c r="E86" s="1085">
        <f>D86*$E$89</f>
        <v/>
      </c>
      <c r="F86" s="303" t="n"/>
      <c r="G86" s="170" t="n"/>
      <c r="H86" s="1086" t="n"/>
    </row>
    <row r="87">
      <c r="B87" s="962" t="n"/>
      <c r="C87" s="294" t="inlineStr">
        <is>
          <t>g.o. exenta num. 4 art. 307 E.T.</t>
        </is>
      </c>
      <c r="D87" s="1085" t="n">
        <v>1625</v>
      </c>
      <c r="E87" s="1085">
        <f>D87*$E$89</f>
        <v/>
      </c>
      <c r="F87" s="305" t="n"/>
    </row>
    <row r="88">
      <c r="B88" s="962" t="n"/>
      <c r="C88" s="296" t="inlineStr">
        <is>
          <t>g.o. art. 311-1 E.T.</t>
        </is>
      </c>
      <c r="D88" s="1085" t="n">
        <v>5000</v>
      </c>
      <c r="E88" s="1085">
        <f>D88*$E$89</f>
        <v/>
      </c>
      <c r="F88" s="306" t="n"/>
      <c r="H88" s="168" t="n"/>
    </row>
    <row r="89">
      <c r="B89" s="962" t="n"/>
      <c r="C89" s="296" t="inlineStr">
        <is>
          <t>Valor UVT</t>
        </is>
      </c>
      <c r="D89" s="296" t="n"/>
      <c r="E89" s="1085" t="n">
        <v>49799</v>
      </c>
      <c r="F89" s="306" t="n"/>
      <c r="H89" s="168" t="n"/>
    </row>
    <row r="92">
      <c r="B92" s="40" t="inlineStr">
        <is>
          <t>IMPUESTO DE GANANCIA OCASIONAL</t>
        </is>
      </c>
      <c r="C92" s="964" t="n"/>
      <c r="D92" s="965" t="n"/>
    </row>
    <row r="93">
      <c r="B93" s="839" t="inlineStr">
        <is>
          <t>Renglón 128</t>
        </is>
      </c>
      <c r="C93" s="307" t="inlineStr">
        <is>
          <t>Concepto</t>
        </is>
      </c>
      <c r="D93" s="307" t="inlineStr">
        <is>
          <t>Valor</t>
        </is>
      </c>
    </row>
    <row r="94" ht="24" customHeight="1">
      <c r="B94" s="962" t="n"/>
      <c r="C94" s="308" t="inlineStr">
        <is>
          <t>Ingreso por ganancia ocasional a la tarifa del 15%</t>
        </is>
      </c>
      <c r="D94" s="66">
        <f>D67</f>
        <v/>
      </c>
    </row>
    <row r="95">
      <c r="B95" s="962" t="n"/>
      <c r="C95" s="308" t="inlineStr">
        <is>
          <t>(-) Costo por ganancia ocasional</t>
        </is>
      </c>
      <c r="D95" s="66">
        <f>G67</f>
        <v/>
      </c>
    </row>
    <row r="96">
      <c r="B96" s="962" t="n"/>
      <c r="C96" s="308" t="inlineStr">
        <is>
          <t>(-) Ganancia ocasional no gravada y exenta</t>
        </is>
      </c>
      <c r="D96" s="66">
        <f>ROUND(D83,-3)</f>
        <v/>
      </c>
    </row>
    <row r="97" ht="34" customHeight="1">
      <c r="B97" s="962" t="n"/>
      <c r="C97" s="308" t="inlineStr">
        <is>
          <t>(=) Ganancia Ocasional Gravable a la tarifa del 15%</t>
        </is>
      </c>
      <c r="D97" s="309">
        <f>D94-D95-D96</f>
        <v/>
      </c>
    </row>
    <row r="98" ht="34" customHeight="1">
      <c r="B98" s="962" t="n"/>
      <c r="C98" s="308" t="inlineStr">
        <is>
          <t>Ingreso por ganancia ocasional a la tarifa del 20%</t>
        </is>
      </c>
      <c r="D98" s="309">
        <f>D68</f>
        <v/>
      </c>
    </row>
    <row r="99">
      <c r="B99" s="962" t="n"/>
      <c r="C99" s="308" t="inlineStr">
        <is>
          <t>Impuesto de Ganancia Ocasionales 15%</t>
        </is>
      </c>
      <c r="D99" s="310">
        <f>ROUND((D97*0.15),-3)</f>
        <v/>
      </c>
    </row>
    <row r="100">
      <c r="B100" s="962" t="n"/>
      <c r="C100" s="308" t="inlineStr">
        <is>
          <t>Impuesto de Ganancia Ocasionales 20%</t>
        </is>
      </c>
      <c r="D100" s="310">
        <f>ROUND((D98*0.2),-3)</f>
        <v/>
      </c>
    </row>
    <row r="101">
      <c r="B101" s="962" t="n"/>
      <c r="C101" s="308" t="inlineStr">
        <is>
          <t>Total impuesto por ganancia ocasional</t>
        </is>
      </c>
      <c r="D101" s="68">
        <f>ROUND(SUM(D99:D100),-3)</f>
        <v/>
      </c>
    </row>
  </sheetData>
  <mergeCells count="50">
    <mergeCell ref="G54:G56"/>
    <mergeCell ref="H10:J16"/>
    <mergeCell ref="C17:C30"/>
    <mergeCell ref="E57:E59"/>
    <mergeCell ref="D3:D16"/>
    <mergeCell ref="E54:E56"/>
    <mergeCell ref="H38:J44"/>
    <mergeCell ref="G24:G30"/>
    <mergeCell ref="G46:G53"/>
    <mergeCell ref="E63:E66"/>
    <mergeCell ref="B54:B56"/>
    <mergeCell ref="E2:G2"/>
    <mergeCell ref="H31:J37"/>
    <mergeCell ref="E67:F69"/>
    <mergeCell ref="F57:F59"/>
    <mergeCell ref="B67:C67"/>
    <mergeCell ref="C3:C16"/>
    <mergeCell ref="B92:D92"/>
    <mergeCell ref="B46:B53"/>
    <mergeCell ref="A2:A69"/>
    <mergeCell ref="B63:B66"/>
    <mergeCell ref="H17:J23"/>
    <mergeCell ref="B69:C69"/>
    <mergeCell ref="B31:B44"/>
    <mergeCell ref="G31:G37"/>
    <mergeCell ref="C45:F45"/>
    <mergeCell ref="A1:G1"/>
    <mergeCell ref="G67:G69"/>
    <mergeCell ref="G57:G59"/>
    <mergeCell ref="G38:G44"/>
    <mergeCell ref="F54:F56"/>
    <mergeCell ref="G17:G23"/>
    <mergeCell ref="C31:C44"/>
    <mergeCell ref="D31:D44"/>
    <mergeCell ref="H3:J9"/>
    <mergeCell ref="G63:G66"/>
    <mergeCell ref="B93:B101"/>
    <mergeCell ref="B68:C68"/>
    <mergeCell ref="D83:H83"/>
    <mergeCell ref="B57:B59"/>
    <mergeCell ref="D17:D30"/>
    <mergeCell ref="A73:B89"/>
    <mergeCell ref="D80:F80"/>
    <mergeCell ref="F63:F66"/>
    <mergeCell ref="A72:H72"/>
    <mergeCell ref="B60:B62"/>
    <mergeCell ref="G3:G9"/>
    <mergeCell ref="B2:B30"/>
    <mergeCell ref="H24:J30"/>
    <mergeCell ref="G10:G16"/>
  </mergeCells>
  <dataValidations count="1">
    <dataValidation sqref="D77 F46" showDropDown="0" showInputMessage="1" showErrorMessage="1" allowBlank="1" type="list">
      <formula1>"1,2,3,4,5,6,7,8,9"</formula1>
    </dataValidation>
  </dataValidations>
  <hyperlinks>
    <hyperlink ref="A73" location="'210'!K23" display="Renglón 83"/>
    <hyperlink ref="B93" location="'210'!K36" display="Renglón 96"/>
  </hyperlinks>
  <pageMargins left="0.7" right="0.7" top="0.75" bottom="0.75" header="0.3" footer="0.3"/>
</worksheet>
</file>

<file path=xl/worksheets/sheet18.xml><?xml version="1.0" encoding="utf-8"?>
<worksheet xmlns="http://schemas.openxmlformats.org/spreadsheetml/2006/main">
  <sheetPr>
    <tabColor rgb="FF0070C0"/>
    <outlinePr summaryBelow="1" summaryRight="1"/>
    <pageSetUpPr/>
  </sheetPr>
  <dimension ref="B4:N179"/>
  <sheetViews>
    <sheetView topLeftCell="A94" zoomScale="110" zoomScaleNormal="110" workbookViewId="0">
      <selection activeCell="F117" sqref="F117"/>
    </sheetView>
  </sheetViews>
  <sheetFormatPr baseColWidth="10" defaultRowHeight="16"/>
  <cols>
    <col width="10.83203125" customWidth="1" style="16" min="1" max="3"/>
    <col width="26.1640625" customWidth="1" style="16" min="4" max="6"/>
    <col width="52.6640625" customWidth="1" style="16" min="7" max="7"/>
    <col width="10.83203125" customWidth="1" style="16" min="8" max="8"/>
    <col width="14.1640625" bestFit="1" customWidth="1" style="16" min="9" max="9"/>
    <col width="15.5" customWidth="1" style="16" min="10" max="10"/>
    <col width="10.83203125" customWidth="1" style="16" min="11" max="16384"/>
  </cols>
  <sheetData>
    <row r="4">
      <c r="B4" s="393" t="inlineStr">
        <is>
          <t>AÑO</t>
        </is>
      </c>
      <c r="C4" s="393" t="inlineStr">
        <is>
          <t>%</t>
        </is>
      </c>
      <c r="D4" s="1087" t="inlineStr">
        <is>
          <t>VALOR BASE</t>
        </is>
      </c>
      <c r="E4" s="393" t="inlineStr">
        <is>
          <t>REAJUSTE</t>
        </is>
      </c>
      <c r="F4" s="393" t="inlineStr">
        <is>
          <t>TOTAL REAJUSTADO</t>
        </is>
      </c>
      <c r="G4" s="393" t="inlineStr">
        <is>
          <t>Normatividad</t>
        </is>
      </c>
    </row>
    <row r="5" ht="18" customHeight="1">
      <c r="B5" s="395" t="n">
        <v>1974</v>
      </c>
      <c r="C5" s="396" t="n">
        <v>0.08</v>
      </c>
      <c r="D5" s="1088">
        <f>+IF(B5='REAJUST FISCAL'!$I$11,G.OCAS!$F$4,0)</f>
        <v/>
      </c>
      <c r="E5" s="1089">
        <f>+IF(B5=$I$11,C5*$M$11*D5,IF(B5=$I$12,C5*$M$12*D5,C5*D5))</f>
        <v/>
      </c>
      <c r="F5" s="1090">
        <f>+'REAJUST FISCAL'!D5+E5</f>
        <v/>
      </c>
      <c r="G5" s="400" t="inlineStr">
        <is>
          <t>Decreto 2247 de 1974</t>
        </is>
      </c>
    </row>
    <row r="6" ht="18" customHeight="1">
      <c r="B6" s="395" t="n">
        <v>1975</v>
      </c>
      <c r="C6" s="396" t="n">
        <v>0.08</v>
      </c>
      <c r="D6" s="1088">
        <f>+IF(B6='REAJUST FISCAL'!$I$11,G.OCAS!$F$4,F5)</f>
        <v/>
      </c>
      <c r="E6" s="1089">
        <f>+IF(B6=$I$11,C6*$M$11*D6,IF(B6=$I$12,C6*$M$12*D6,C6*D6))</f>
        <v/>
      </c>
      <c r="F6" s="1090">
        <f>+D6+E6</f>
        <v/>
      </c>
      <c r="G6" s="400" t="inlineStr">
        <is>
          <t>Decreto 187 de 1975</t>
        </is>
      </c>
    </row>
    <row r="7" ht="18" customHeight="1">
      <c r="B7" s="395" t="n">
        <v>1976</v>
      </c>
      <c r="C7" s="396" t="n">
        <v>0.08</v>
      </c>
      <c r="D7" s="1088">
        <f>+IF(B7='REAJUST FISCAL'!$I$11,G.OCAS!$F$4,F6)</f>
        <v/>
      </c>
      <c r="E7" s="1089">
        <f>+IF(B7=$I$11,C7*$M$11*D7,IF(B7=$I$12,C7*$M$12*D7,C7*D7))</f>
        <v/>
      </c>
      <c r="F7" s="1090">
        <f>+D7+E7</f>
        <v/>
      </c>
      <c r="G7" s="400" t="inlineStr">
        <is>
          <t>Ley 19 de 1976</t>
        </is>
      </c>
    </row>
    <row r="8" ht="18" customHeight="1">
      <c r="B8" s="395" t="n">
        <v>1977</v>
      </c>
      <c r="C8" s="396" t="n">
        <v>0.14</v>
      </c>
      <c r="D8" s="1088">
        <f>+IF(B8='REAJUST FISCAL'!$I$11,G.OCAS!$F$4,F7)</f>
        <v/>
      </c>
      <c r="E8" s="1089">
        <f>+IF(B8=$I$11,C8*$M$11*D8,IF(B8=$I$12,C8*$M$12*D8,C8*D8))</f>
        <v/>
      </c>
      <c r="F8" s="1090">
        <f>+D8+E8</f>
        <v/>
      </c>
      <c r="G8" s="400" t="inlineStr">
        <is>
          <t>Ley 54 de 1977</t>
        </is>
      </c>
    </row>
    <row r="9" ht="18" customHeight="1">
      <c r="B9" s="395" t="n">
        <v>1978</v>
      </c>
      <c r="C9" s="396" t="n">
        <v>0.095</v>
      </c>
      <c r="D9" s="1088">
        <f>+IF(B9='REAJUST FISCAL'!$I$11,G.OCAS!$F$4,F8)</f>
        <v/>
      </c>
      <c r="E9" s="1089">
        <f>+IF(B9=$I$11,C9*$M$11*D9,IF(B9=$I$12,C9*$M$12*D9,C9*D9))</f>
        <v/>
      </c>
      <c r="F9" s="1090">
        <f>+D9+E9</f>
        <v/>
      </c>
      <c r="G9" s="400" t="inlineStr">
        <is>
          <t>Decreto 2114 de 1978</t>
        </is>
      </c>
    </row>
    <row r="10" ht="18" customHeight="1">
      <c r="B10" s="395" t="n">
        <v>1979</v>
      </c>
      <c r="C10" s="396" t="n">
        <v>0.244</v>
      </c>
      <c r="D10" s="1088">
        <f>+IF(B10='REAJUST FISCAL'!$I$11,G.OCAS!$F$4,F9)</f>
        <v/>
      </c>
      <c r="E10" s="1089">
        <f>+IF(B10=$I$11,C10*$M$11*D10,IF(B10=$I$12,C10*$M$12*D10,C10*D10))</f>
        <v/>
      </c>
      <c r="F10" s="1090">
        <f>+D10+E10</f>
        <v/>
      </c>
      <c r="G10" s="400" t="inlineStr">
        <is>
          <t>Ley 20 de 1979 /Decreto 2326 de 1979</t>
        </is>
      </c>
    </row>
    <row r="11" ht="18" customHeight="1">
      <c r="B11" s="395" t="n">
        <v>1980</v>
      </c>
      <c r="C11" s="396" t="n">
        <v>0.2472</v>
      </c>
      <c r="D11" s="1088">
        <f>+IF(B11='REAJUST FISCAL'!$I$11,G.OCAS!$F$4,F10)</f>
        <v/>
      </c>
      <c r="E11" s="1089">
        <f>+IF(B11=$I$11,C11*$M$11*D11,IF(B11=$I$12,C11*$M$12*D11,C11*D11))</f>
        <v/>
      </c>
      <c r="F11" s="1090">
        <f>+D11+E11</f>
        <v/>
      </c>
      <c r="G11" s="400" t="inlineStr">
        <is>
          <t>Decreto 2534 de 1980</t>
        </is>
      </c>
      <c r="I11" s="275">
        <f>+YEAR(G.OCAS!F5)</f>
        <v/>
      </c>
      <c r="J11" s="275">
        <f>+CONCATENATE("31/12/",+I11)</f>
        <v/>
      </c>
      <c r="K11" s="275" t="n">
        <v>360</v>
      </c>
      <c r="L11" s="1091">
        <f>+_xlfn.DAYS(J11,G.OCAS!F5)</f>
        <v/>
      </c>
      <c r="M11" s="407">
        <f>+L11/K11</f>
        <v/>
      </c>
      <c r="N11" s="415">
        <f>+M11*C50</f>
        <v/>
      </c>
    </row>
    <row r="12" ht="18" customHeight="1">
      <c r="B12" s="395" t="n">
        <v>1981</v>
      </c>
      <c r="C12" s="396" t="n">
        <v>0.2775</v>
      </c>
      <c r="D12" s="1088">
        <f>+IF(B12='REAJUST FISCAL'!$I$11,G.OCAS!$F$4,F11)</f>
        <v/>
      </c>
      <c r="E12" s="1089">
        <f>+IF(B12=$I$11,C12*$M$11*D12,IF(B12=$I$12,C12*$M$12*D12,C12*D12))</f>
        <v/>
      </c>
      <c r="F12" s="1090">
        <f>+D12+E12</f>
        <v/>
      </c>
      <c r="G12" s="400" t="inlineStr">
        <is>
          <t>Decreto 2655 de 1981</t>
        </is>
      </c>
      <c r="I12" s="275">
        <f>+YEAR(G.OCAS!F6)</f>
        <v/>
      </c>
      <c r="J12" s="409" t="n">
        <v>45292</v>
      </c>
      <c r="K12" s="275" t="n">
        <v>360</v>
      </c>
      <c r="L12" s="1091">
        <f>+_xlfn.DAYS(G.OCAS!F6,J12)</f>
        <v/>
      </c>
      <c r="M12" s="407">
        <f>+L12/K12</f>
        <v/>
      </c>
    </row>
    <row r="13" ht="18" customHeight="1">
      <c r="B13" s="395" t="n">
        <v>1982</v>
      </c>
      <c r="C13" s="396" t="n">
        <v>0.2347</v>
      </c>
      <c r="D13" s="1088">
        <f>+IF(B13='REAJUST FISCAL'!$I$11,G.OCAS!$F$4,F12)</f>
        <v/>
      </c>
      <c r="E13" s="1089">
        <f>+IF(B13=$I$11,C13*$M$11*D13,IF(B13=$I$12,C13*$M$12*D13,C13*D13))</f>
        <v/>
      </c>
      <c r="F13" s="1090">
        <f>+D13+E13</f>
        <v/>
      </c>
      <c r="G13" s="400" t="inlineStr">
        <is>
          <t>Decreto  2809 de 1982</t>
        </is>
      </c>
    </row>
    <row r="14" ht="18" customHeight="1">
      <c r="B14" s="395" t="n">
        <v>1983</v>
      </c>
      <c r="C14" s="396" t="n">
        <v>0.1942</v>
      </c>
      <c r="D14" s="1088">
        <f>+IF(B14='REAJUST FISCAL'!$I$11,G.OCAS!$F$4,F13)</f>
        <v/>
      </c>
      <c r="E14" s="1089">
        <f>+IF(B14=$I$11,C14*$M$11*D14,IF(B14=$I$12,C14*$M$12*D14,C14*D14))</f>
        <v/>
      </c>
      <c r="F14" s="1090">
        <f>+D14+E14</f>
        <v/>
      </c>
      <c r="G14" s="400" t="inlineStr">
        <is>
          <t>Ley 9 de 1983/Decreto 2124 de 1983</t>
        </is>
      </c>
    </row>
    <row r="15" ht="18" customHeight="1">
      <c r="B15" s="395" t="n">
        <v>1984</v>
      </c>
      <c r="C15" s="396" t="n">
        <v>0.1517</v>
      </c>
      <c r="D15" s="1088">
        <f>+IF(B15='REAJUST FISCAL'!$I$11,G.OCAS!$F$4,F14)</f>
        <v/>
      </c>
      <c r="E15" s="1089">
        <f>+IF(B15=$I$11,C15*$M$11*D15,IF(B15=$I$12,C15*$M$12*D15,C15*D15))</f>
        <v/>
      </c>
      <c r="F15" s="1090">
        <f>+D15+E15</f>
        <v/>
      </c>
      <c r="G15" s="400" t="inlineStr">
        <is>
          <t>Decreto 1843 de 1984</t>
        </is>
      </c>
    </row>
    <row r="16" ht="18" customHeight="1">
      <c r="B16" s="395" t="n">
        <v>1985</v>
      </c>
      <c r="C16" s="396" t="n">
        <v>0.2451</v>
      </c>
      <c r="D16" s="1088">
        <f>+IF(B16='REAJUST FISCAL'!$I$11,G.OCAS!$F$4,F15)</f>
        <v/>
      </c>
      <c r="E16" s="1089">
        <f>+IF(B16=$I$11,C16*$M$11*D16,IF(B16=$I$12,C16*$M$12*D16,C16*D16))</f>
        <v/>
      </c>
      <c r="F16" s="1090">
        <f>+D16+E16</f>
        <v/>
      </c>
      <c r="G16" s="400" t="inlineStr">
        <is>
          <t>Decreto 2032 de 1985</t>
        </is>
      </c>
    </row>
    <row r="17" ht="18" customHeight="1">
      <c r="B17" s="395" t="n">
        <v>1986</v>
      </c>
      <c r="C17" s="396" t="n">
        <v>0.163</v>
      </c>
      <c r="D17" s="1088">
        <f>+IF(B17='REAJUST FISCAL'!$I$11,G.OCAS!$F$4,F16)</f>
        <v/>
      </c>
      <c r="E17" s="1089">
        <f>+IF(B17=$I$11,C17*$M$11*D17,IF(B17=$I$12,C17*$M$12*D17,C17*D17))</f>
        <v/>
      </c>
      <c r="F17" s="1090">
        <f>+D17+E17</f>
        <v/>
      </c>
      <c r="G17" s="400" t="inlineStr">
        <is>
          <t>Ley 75 de 1986/Decreto 2444 de 1986</t>
        </is>
      </c>
      <c r="I17" s="1092" t="n"/>
    </row>
    <row r="18" ht="18" customHeight="1">
      <c r="B18" s="395" t="n">
        <v>1987</v>
      </c>
      <c r="C18" s="396" t="n">
        <v>0.1679</v>
      </c>
      <c r="D18" s="1088">
        <f>+IF(B18='REAJUST FISCAL'!$I$11,G.OCAS!$F$4,F17)</f>
        <v/>
      </c>
      <c r="E18" s="1089">
        <f>+IF(B18=$I$11,C18*$M$11*D18,IF(B18=$I$12,C18*$M$12*D18,C18*D18))</f>
        <v/>
      </c>
      <c r="F18" s="1090">
        <f>+D18+E18</f>
        <v/>
      </c>
      <c r="G18" s="400" t="inlineStr">
        <is>
          <t>Decreto 59 de 1987</t>
        </is>
      </c>
    </row>
    <row r="19" ht="18" customHeight="1">
      <c r="B19" s="395" t="n">
        <v>1988</v>
      </c>
      <c r="C19" s="396" t="n">
        <v>0.2365</v>
      </c>
      <c r="D19" s="1088">
        <f>+IF(B19='REAJUST FISCAL'!$I$11,G.OCAS!$F$4,F18)</f>
        <v/>
      </c>
      <c r="E19" s="1089">
        <f>+IF(B19=$I$11,C19*$M$11*D19,IF(B19=$I$12,C19*$M$12*D19,C19*D19))</f>
        <v/>
      </c>
      <c r="F19" s="1090">
        <f>+D19+E19</f>
        <v/>
      </c>
      <c r="G19" s="400" t="inlineStr">
        <is>
          <t>Decreto 2540 de 1987</t>
        </is>
      </c>
    </row>
    <row r="20" ht="18" customHeight="1">
      <c r="B20" s="395" t="n">
        <v>1989</v>
      </c>
      <c r="C20" s="396" t="n">
        <v>0.2799</v>
      </c>
      <c r="D20" s="1088">
        <f>+IF(B20='REAJUST FISCAL'!$I$11,G.OCAS!$F$4,F19)</f>
        <v/>
      </c>
      <c r="E20" s="1089">
        <f>+IF(B20=$I$11,C20*$M$11*D20,IF(B20=$I$12,C20*$M$12*D20,C20*D20))</f>
        <v/>
      </c>
      <c r="F20" s="1090">
        <f>+D20+E20</f>
        <v/>
      </c>
      <c r="G20" s="400" t="inlineStr">
        <is>
          <t>Decreto 2671 de 1988</t>
        </is>
      </c>
    </row>
    <row r="21" ht="18" customHeight="1">
      <c r="B21" s="395" t="n">
        <v>1990</v>
      </c>
      <c r="C21" s="396" t="n">
        <v>0.2664</v>
      </c>
      <c r="D21" s="1088">
        <f>+IF(B21='REAJUST FISCAL'!$I$11,G.OCAS!$F$4,F20)</f>
        <v/>
      </c>
      <c r="E21" s="1089">
        <f>+IF(B21=$I$11,C21*$M$11*D21,IF(B21=$I$12,C21*$M$12*D21,C21*D21))</f>
        <v/>
      </c>
      <c r="F21" s="1090">
        <f>+D21+E21</f>
        <v/>
      </c>
      <c r="G21" s="400" t="inlineStr">
        <is>
          <t>Decreto 624 de 1989 / Decreto 3018 de 1989</t>
        </is>
      </c>
    </row>
    <row r="22" ht="18" customHeight="1">
      <c r="B22" s="395" t="n">
        <v>1991</v>
      </c>
      <c r="C22" s="396" t="n">
        <v>0.3004</v>
      </c>
      <c r="D22" s="1088">
        <f>+IF(B22='REAJUST FISCAL'!$I$11,G.OCAS!$F$4,F21)</f>
        <v/>
      </c>
      <c r="E22" s="1089">
        <f>+IF(B22=$I$11,C22*$M$11*D22,IF(B22=$I$12,C22*$M$12*D22,C22*D22))</f>
        <v/>
      </c>
      <c r="F22" s="1090">
        <f>+D22+E22</f>
        <v/>
      </c>
      <c r="G22" s="400" t="inlineStr">
        <is>
          <t>Decreto 3100 de 1990</t>
        </is>
      </c>
    </row>
    <row r="23" ht="18" customHeight="1">
      <c r="B23" s="395" t="n">
        <v>1992</v>
      </c>
      <c r="C23" s="396" t="n">
        <v>0.2981</v>
      </c>
      <c r="D23" s="1088">
        <f>+IF(B23='REAJUST FISCAL'!$I$11,G.OCAS!$F$4,F22)</f>
        <v/>
      </c>
      <c r="E23" s="1089">
        <f>+IF(B23=$I$11,C23*$M$11*D23,IF(B23=$I$12,C23*$M$12*D23,C23*D23))</f>
        <v/>
      </c>
      <c r="F23" s="1090">
        <f>+D23+E23</f>
        <v/>
      </c>
      <c r="G23" s="400" t="inlineStr">
        <is>
          <t>Certificación DANE 102300</t>
        </is>
      </c>
    </row>
    <row r="24" ht="18" customHeight="1">
      <c r="B24" s="395" t="n">
        <v>1993</v>
      </c>
      <c r="C24" s="396" t="n">
        <v>0.262</v>
      </c>
      <c r="D24" s="1088">
        <f>+IF(B24='REAJUST FISCAL'!$I$11,G.OCAS!$F$4,F23)</f>
        <v/>
      </c>
      <c r="E24" s="1089">
        <f>+IF(B24=$I$11,C24*$M$11*D24,IF(B24=$I$12,C24*$M$12*D24,C24*D24))</f>
        <v/>
      </c>
      <c r="F24" s="1090">
        <f>+D24+E24</f>
        <v/>
      </c>
      <c r="G24" s="400" t="inlineStr">
        <is>
          <t>Certificación DANE 102294</t>
        </is>
      </c>
    </row>
    <row r="25" ht="18" customHeight="1">
      <c r="B25" s="395" t="n">
        <v>1994</v>
      </c>
      <c r="C25" s="396" t="n">
        <v>0.2208</v>
      </c>
      <c r="D25" s="1088">
        <f>+IF(B25='REAJUST FISCAL'!$I$11,G.OCAS!$F$4,F24)</f>
        <v/>
      </c>
      <c r="E25" s="1089">
        <f>+IF(B25=$I$11,C25*$M$11*D25,IF(B25=$I$12,C25*$M$12*D25,C25*D25))</f>
        <v/>
      </c>
      <c r="F25" s="1090">
        <f>+D25+E25</f>
        <v/>
      </c>
      <c r="G25" s="400" t="inlineStr">
        <is>
          <t>Certificación DANE 102295</t>
        </is>
      </c>
    </row>
    <row r="26" ht="18" customHeight="1">
      <c r="B26" s="395" t="n">
        <v>1995</v>
      </c>
      <c r="C26" s="396" t="n">
        <v>0.2231</v>
      </c>
      <c r="D26" s="1088">
        <f>+IF(B26='REAJUST FISCAL'!$I$11,G.OCAS!$F$4,F25)</f>
        <v/>
      </c>
      <c r="E26" s="1089">
        <f>+IF(B26=$I$11,C26*$M$11*D26,IF(B26=$I$12,C26*$M$12*D26,C26*D26))</f>
        <v/>
      </c>
      <c r="F26" s="1090">
        <f>+D26+E26</f>
        <v/>
      </c>
      <c r="G26" s="400" t="inlineStr">
        <is>
          <t>Decreto 00400 de 1996</t>
        </is>
      </c>
    </row>
    <row r="27" ht="18" customHeight="1">
      <c r="B27" s="395" t="n">
        <v>1996</v>
      </c>
      <c r="C27" s="396" t="n">
        <v>0.18</v>
      </c>
      <c r="D27" s="1088">
        <f>+IF(B27='REAJUST FISCAL'!$I$11,G.OCAS!$F$4,F26)</f>
        <v/>
      </c>
      <c r="E27" s="1089">
        <f>+IF(B27=$I$11,C27*$M$11*D27,IF(B27=$I$12,C27*$M$12*D27,C27*D27))</f>
        <v/>
      </c>
      <c r="F27" s="1090">
        <f>+D27+E27</f>
        <v/>
      </c>
      <c r="G27" s="400" t="inlineStr">
        <is>
          <t>Decreto 00476 de 1997</t>
        </is>
      </c>
    </row>
    <row r="28" ht="18" customHeight="1">
      <c r="B28" s="395" t="n">
        <v>1997</v>
      </c>
      <c r="C28" s="396" t="n">
        <v>0.16</v>
      </c>
      <c r="D28" s="1088">
        <f>+IF(B28='REAJUST FISCAL'!$I$11,G.OCAS!$F$4,F27)</f>
        <v/>
      </c>
      <c r="E28" s="1089">
        <f>+IF(B28=$I$11,C28*$M$11*D28,IF(B28=$I$12,C28*$M$12*D28,C28*D28))</f>
        <v/>
      </c>
      <c r="F28" s="1090">
        <f>+D28+E28</f>
        <v/>
      </c>
      <c r="G28" s="400" t="inlineStr">
        <is>
          <t>Decreto 00378 de 1998</t>
        </is>
      </c>
    </row>
    <row r="29" ht="18" customHeight="1">
      <c r="B29" s="395" t="n">
        <v>1998</v>
      </c>
      <c r="C29" s="396" t="n">
        <v>0.16</v>
      </c>
      <c r="D29" s="1088">
        <f>+IF(B29='REAJUST FISCAL'!$I$11,G.OCAS!$F$4,F28)</f>
        <v/>
      </c>
      <c r="E29" s="1089">
        <f>+IF(B29=$I$11,C29*$M$11*D29,IF(B29=$I$12,C29*$M$12*D29,C29*D29))</f>
        <v/>
      </c>
      <c r="F29" s="1090">
        <f>+D29+E29</f>
        <v/>
      </c>
      <c r="G29" s="400" t="inlineStr">
        <is>
          <t>Decreto 00495 de 1999</t>
        </is>
      </c>
    </row>
    <row r="30" ht="18" customHeight="1">
      <c r="B30" s="395" t="n">
        <v>1999</v>
      </c>
      <c r="C30" s="396" t="n">
        <v>0.1707</v>
      </c>
      <c r="D30" s="1088">
        <f>+IF(B30='REAJUST FISCAL'!$I$11,G.OCAS!$F$4,F29)</f>
        <v/>
      </c>
      <c r="E30" s="1089">
        <f>+IF(B30=$I$11,C30*$M$11*D30,IF(B30=$I$12,C30*$M$12*D30,C30*D30))</f>
        <v/>
      </c>
      <c r="F30" s="1090">
        <f>+D30+E30</f>
        <v/>
      </c>
      <c r="G30" s="400" t="inlineStr">
        <is>
          <t>Decreto 531 de 2000</t>
        </is>
      </c>
    </row>
    <row r="31" ht="18" customHeight="1">
      <c r="B31" s="395" t="n">
        <v>2000</v>
      </c>
      <c r="C31" s="396" t="n">
        <v>0.0936</v>
      </c>
      <c r="D31" s="1088">
        <f>+IF(B31='REAJUST FISCAL'!$I$11,G.OCAS!$F$4,F30)</f>
        <v/>
      </c>
      <c r="E31" s="1089">
        <f>+IF(B31=$I$11,C31*$M$11*D31,IF(B31=$I$12,C31*$M$12*D31,C31*D31))</f>
        <v/>
      </c>
      <c r="F31" s="1090">
        <f>+D31+E31</f>
        <v/>
      </c>
      <c r="G31" s="400" t="inlineStr">
        <is>
          <t>Decreto 0333 de 2001</t>
        </is>
      </c>
    </row>
    <row r="32" ht="18" customHeight="1">
      <c r="B32" s="395" t="n">
        <v>2001</v>
      </c>
      <c r="C32" s="396" t="n">
        <v>0.0896</v>
      </c>
      <c r="D32" s="1088">
        <f>+IF(B32='REAJUST FISCAL'!$I$11,G.OCAS!$F$4,F31)</f>
        <v/>
      </c>
      <c r="E32" s="1089">
        <f>+IF(B32=$I$11,C32*$M$11*D32,IF(B32=$I$12,C32*$M$12*D32,C32*D32))</f>
        <v/>
      </c>
      <c r="F32" s="1090">
        <f>+D32+E32</f>
        <v/>
      </c>
      <c r="G32" s="400" t="inlineStr">
        <is>
          <t>Decreto 00406 de 2002</t>
        </is>
      </c>
      <c r="I32" s="1092">
        <f>+D32*C32</f>
        <v/>
      </c>
    </row>
    <row r="33" ht="18" customHeight="1">
      <c r="B33" s="395" t="n">
        <v>2002</v>
      </c>
      <c r="C33" s="396" t="n">
        <v>0.06</v>
      </c>
      <c r="D33" s="1088">
        <f>+IF(B33='REAJUST FISCAL'!$I$11,G.OCAS!$F$4,F32)</f>
        <v/>
      </c>
      <c r="E33" s="1089">
        <f>+IF(B33=$I$11,C33*$M$11*D33,IF(B33=$I$12,C33*$M$12*D33,C33*D33))</f>
        <v/>
      </c>
      <c r="F33" s="1090">
        <f>+D33+E33</f>
        <v/>
      </c>
      <c r="G33" s="400" t="inlineStr">
        <is>
          <t>Decreto 3257 de 2002</t>
        </is>
      </c>
      <c r="I33" s="1092">
        <f>+D33*C33</f>
        <v/>
      </c>
    </row>
    <row r="34" ht="18" customHeight="1">
      <c r="B34" s="395" t="n">
        <v>2003</v>
      </c>
      <c r="C34" s="396" t="n">
        <v>0.06</v>
      </c>
      <c r="D34" s="1088">
        <f>+IF(B34='REAJUST FISCAL'!$I$11,G.OCAS!$F$4,F33)</f>
        <v/>
      </c>
      <c r="E34" s="1089">
        <f>+IF(B34=$I$11,C34*$M$11*D34,IF(B34=$I$12,C34*$M$12*D34,C34*D34))</f>
        <v/>
      </c>
      <c r="F34" s="1090">
        <f>+D34+E34</f>
        <v/>
      </c>
      <c r="G34" s="400" t="inlineStr">
        <is>
          <t>Decreto 03804 de 2003</t>
        </is>
      </c>
      <c r="I34" s="1092">
        <f>+D34*C34</f>
        <v/>
      </c>
    </row>
    <row r="35" ht="18" customHeight="1">
      <c r="B35" s="395" t="n">
        <v>2004</v>
      </c>
      <c r="C35" s="396" t="n">
        <v>0.06950000000000001</v>
      </c>
      <c r="D35" s="1088">
        <f>+IF(B35='REAJUST FISCAL'!$I$11,G.OCAS!$F$4,F34)</f>
        <v/>
      </c>
      <c r="E35" s="1089">
        <f>+IF(B35=$I$11,C35*$M$11*D35,IF(B35=$I$12,C35*$M$12*D35,C35*D35))</f>
        <v/>
      </c>
      <c r="F35" s="1090">
        <f>+D35+E35</f>
        <v/>
      </c>
      <c r="G35" s="400" t="inlineStr">
        <is>
          <t>Decreto 4344 de 2003</t>
        </is>
      </c>
      <c r="I35" s="1092">
        <f>+D35*C35</f>
        <v/>
      </c>
    </row>
    <row r="36" ht="18" customHeight="1">
      <c r="B36" s="395" t="n">
        <v>2005</v>
      </c>
      <c r="C36" s="396" t="n">
        <v>0.061</v>
      </c>
      <c r="D36" s="1088">
        <f>+IF(B36='REAJUST FISCAL'!$I$11,G.OCAS!$F$4,F35)</f>
        <v/>
      </c>
      <c r="E36" s="1089">
        <f>+IF(B36=$I$11,C36*$M$11*D36,IF(B36=$I$12,C36*$M$12*D36,C36*D36))</f>
        <v/>
      </c>
      <c r="F36" s="1090">
        <f>+D36+E36</f>
        <v/>
      </c>
      <c r="G36" s="400" t="inlineStr">
        <is>
          <t>Decreto 4715 de 2005</t>
        </is>
      </c>
      <c r="I36" s="1092">
        <f>+D36*C36</f>
        <v/>
      </c>
    </row>
    <row r="37" ht="18" customHeight="1">
      <c r="B37" s="395" t="n">
        <v>2006</v>
      </c>
      <c r="C37" s="396" t="n">
        <v>0.0487</v>
      </c>
      <c r="D37" s="1088">
        <f>+IF(B37='REAJUST FISCAL'!$I$11,G.OCAS!$F$4,F36)</f>
        <v/>
      </c>
      <c r="E37" s="1089">
        <f>+IF(B37=$I$11,C37*$M$11*D37,IF(B37=$I$12,C37*$M$12*D37,C37*D37))</f>
        <v/>
      </c>
      <c r="F37" s="1090">
        <f>+D37+E37</f>
        <v/>
      </c>
      <c r="G37" s="400" t="inlineStr">
        <is>
          <t>Res. 15652 de 2006</t>
        </is>
      </c>
      <c r="I37" s="1092">
        <f>+D37*C37</f>
        <v/>
      </c>
    </row>
    <row r="38" ht="18" customHeight="1">
      <c r="B38" s="395" t="n">
        <v>2007</v>
      </c>
      <c r="C38" s="396" t="n">
        <v>0.0515</v>
      </c>
      <c r="D38" s="1088">
        <f>+IF(B38='REAJUST FISCAL'!$I$11,G.OCAS!$F$4,F37)</f>
        <v/>
      </c>
      <c r="E38" s="1089">
        <f>+IF(B38=$I$11,C38*$M$11*D38,IF(B38=$I$12,C38*$M$12*D38,C38*D38))</f>
        <v/>
      </c>
      <c r="F38" s="1090">
        <f>+D38+E38</f>
        <v/>
      </c>
      <c r="G38" s="400" t="inlineStr">
        <is>
          <t xml:space="preserve"> Res.  15013 de 2007</t>
        </is>
      </c>
      <c r="I38" s="1092">
        <f>+D38*C38</f>
        <v/>
      </c>
    </row>
    <row r="39" ht="18" customHeight="1">
      <c r="B39" s="395" t="n">
        <v>2008</v>
      </c>
      <c r="C39" s="396" t="n">
        <v>0.0775</v>
      </c>
      <c r="D39" s="1088">
        <f>+IF(B39='REAJUST FISCAL'!$I$11,G.OCAS!$F$4,F38)</f>
        <v/>
      </c>
      <c r="E39" s="1089">
        <f>+IF(B39=$I$11,C39*$M$11*D39,IF(B39=$I$12,C39*$M$12*D39,C39*D39))</f>
        <v/>
      </c>
      <c r="F39" s="1090">
        <f>+D39+E39</f>
        <v/>
      </c>
      <c r="G39" s="400" t="inlineStr">
        <is>
          <t>Decreto 4715 de 2008</t>
        </is>
      </c>
    </row>
    <row r="40" ht="18" customHeight="1">
      <c r="B40" s="395" t="n">
        <v>2009</v>
      </c>
      <c r="C40" s="396" t="n">
        <v>0.0333</v>
      </c>
      <c r="D40" s="1088">
        <f>+IF(B40='REAJUST FISCAL'!$I$11,G.OCAS!$F$4,F39)</f>
        <v/>
      </c>
      <c r="E40" s="1089">
        <f>+IF(B40=$I$11,C40*$M$11*D40,IF(B40=$I$12,C40*$M$12*D40,C40*D40))</f>
        <v/>
      </c>
      <c r="F40" s="1090">
        <f>+D40+E40</f>
        <v/>
      </c>
      <c r="G40" s="400" t="inlineStr">
        <is>
          <t>Decreto  4930 de 2009</t>
        </is>
      </c>
      <c r="I40" s="1092">
        <f>+D40*C40</f>
        <v/>
      </c>
    </row>
    <row r="41" ht="18" customHeight="1">
      <c r="B41" s="395" t="n">
        <v>2010</v>
      </c>
      <c r="C41" s="396" t="n">
        <v>0.0235</v>
      </c>
      <c r="D41" s="1088">
        <f>+IF(B41='REAJUST FISCAL'!$I$11,G.OCAS!$F$4,F40)</f>
        <v/>
      </c>
      <c r="E41" s="1089">
        <f>+IF(B41=$I$11,C41*$M$11*D41,IF(B41=$I$12,C41*$M$12*D41,C41*D41))</f>
        <v/>
      </c>
      <c r="F41" s="1090">
        <f>+D41+E41</f>
        <v/>
      </c>
      <c r="G41" s="400" t="inlineStr">
        <is>
          <t>Decreto  4837 de 2010</t>
        </is>
      </c>
      <c r="I41" s="1092">
        <f>+D41*C41</f>
        <v/>
      </c>
    </row>
    <row r="42" ht="18" customHeight="1">
      <c r="B42" s="395" t="n">
        <v>2011</v>
      </c>
      <c r="C42" s="396" t="n">
        <v>0.0365</v>
      </c>
      <c r="D42" s="1088">
        <f>+IF(B42='REAJUST FISCAL'!$I$11,G.OCAS!$F$4,F41)</f>
        <v/>
      </c>
      <c r="E42" s="1089">
        <f>+IF(B42=$I$11,C42*$M$11*D42,IF(B42=$I$12,C42*$M$12*D42,C42*D42))</f>
        <v/>
      </c>
      <c r="F42" s="1090">
        <f>+D42+E42</f>
        <v/>
      </c>
      <c r="G42" s="400" t="inlineStr">
        <is>
          <t>Decreto 4908 de 2011</t>
        </is>
      </c>
      <c r="I42" s="1092">
        <f>+D42*C42</f>
        <v/>
      </c>
    </row>
    <row r="43" ht="18" customHeight="1">
      <c r="B43" s="395" t="n">
        <v>2012</v>
      </c>
      <c r="C43" s="396" t="n">
        <v>0.0304</v>
      </c>
      <c r="D43" s="1088">
        <f>+IF(B43='REAJUST FISCAL'!$I$11,G.OCAS!$F$4,F42)</f>
        <v/>
      </c>
      <c r="E43" s="1089">
        <f>+IF(B43=$I$11,C43*$M$11*D43,IF(B43=$I$12,C43*$M$12*D43,C43*D43))</f>
        <v/>
      </c>
      <c r="F43" s="1090">
        <f>+D43+E43</f>
        <v/>
      </c>
      <c r="G43" s="400" t="inlineStr">
        <is>
          <t>Decreto 2714 de 2012</t>
        </is>
      </c>
      <c r="I43" s="1092">
        <f>+D43*C43</f>
        <v/>
      </c>
    </row>
    <row r="44" ht="18" customHeight="1">
      <c r="B44" s="395" t="n">
        <v>2013</v>
      </c>
      <c r="C44" s="396" t="n">
        <v>0.024</v>
      </c>
      <c r="D44" s="1088">
        <f>+IF(B44='REAJUST FISCAL'!$I$11,G.OCAS!$F$4,F43)</f>
        <v/>
      </c>
      <c r="E44" s="1089">
        <f>+IF(B44=$I$11,C44*$M$11*D44,IF(B44=$I$12,C44*$M$12*D44,C44*D44))</f>
        <v/>
      </c>
      <c r="F44" s="1090">
        <f>+D44+E44</f>
        <v/>
      </c>
      <c r="G44" s="400" t="inlineStr">
        <is>
          <t>Decreto 2921 de 2013</t>
        </is>
      </c>
      <c r="I44" s="1092">
        <f>+D44*C44</f>
        <v/>
      </c>
    </row>
    <row r="45" ht="18" customHeight="1">
      <c r="B45" s="395" t="n">
        <v>2014</v>
      </c>
      <c r="C45" s="396" t="n">
        <v>0.0289</v>
      </c>
      <c r="D45" s="1088">
        <f>+IF(B45='REAJUST FISCAL'!$I$11,G.OCAS!$F$4,F44)</f>
        <v/>
      </c>
      <c r="E45" s="1089">
        <f>+IF(B45=$I$11,C45*$M$11*D45,IF(B45=$I$12,C45*$M$12*D45,C45*D45))</f>
        <v/>
      </c>
      <c r="F45" s="1090">
        <f>+D45+E45</f>
        <v/>
      </c>
      <c r="G45" s="400" t="inlineStr">
        <is>
          <t>Decreto 2624 de 2014</t>
        </is>
      </c>
      <c r="I45" s="1092">
        <f>+D45*C45</f>
        <v/>
      </c>
    </row>
    <row r="46" ht="18" customHeight="1">
      <c r="B46" s="395" t="n">
        <v>2015</v>
      </c>
      <c r="C46" s="396" t="n">
        <v>0.0521</v>
      </c>
      <c r="D46" s="1088">
        <f>+IF(B46='REAJUST FISCAL'!$I$11,G.OCAS!$F$4,F45)</f>
        <v/>
      </c>
      <c r="E46" s="1089">
        <f>+IF(B46=$I$11,C46*$M$11*D46,IF(B46=$I$12,C46*$M$12*D46,C46*D46))</f>
        <v/>
      </c>
      <c r="F46" s="1090">
        <f>+D46+E46</f>
        <v/>
      </c>
      <c r="G46" s="400" t="inlineStr">
        <is>
          <t>Decreto 2453 de 2015</t>
        </is>
      </c>
      <c r="I46" s="1092">
        <f>+D46*C46</f>
        <v/>
      </c>
    </row>
    <row r="47" ht="18" customHeight="1">
      <c r="B47" s="395" t="n">
        <v>2016</v>
      </c>
      <c r="C47" s="396" t="n">
        <v>0.0708</v>
      </c>
      <c r="D47" s="1088">
        <f>+IF(B47='REAJUST FISCAL'!$I$11,G.OCAS!$F$4,F46)</f>
        <v/>
      </c>
      <c r="E47" s="1089">
        <f>+IF(B47=$I$11,C47*$M$11*D47,IF(B47=$I$12,C47*$M$12*D47,C47*D47))</f>
        <v/>
      </c>
      <c r="F47" s="1090">
        <f>+D47+E47</f>
        <v/>
      </c>
      <c r="G47" s="400" t="inlineStr">
        <is>
          <t>Decreto 2202 de 2016</t>
        </is>
      </c>
      <c r="I47" s="1092">
        <f>+D47*C47</f>
        <v/>
      </c>
    </row>
    <row r="48" ht="18" customHeight="1">
      <c r="B48" s="395" t="n">
        <v>2017</v>
      </c>
      <c r="C48" s="396" t="n">
        <v>0.0407</v>
      </c>
      <c r="D48" s="1088">
        <f>+IF(B48='REAJUST FISCAL'!$I$11,G.OCAS!$F$4,F47)</f>
        <v/>
      </c>
      <c r="E48" s="1089">
        <f>+IF(B48=$I$11,C48*$M$11*D48,IF(B48=$I$12,C48*$M$12*D48,C48*D48))</f>
        <v/>
      </c>
      <c r="F48" s="1090">
        <f>+D48+E48</f>
        <v/>
      </c>
      <c r="G48" s="400" t="inlineStr">
        <is>
          <t>Decreto 2169 de 2017</t>
        </is>
      </c>
      <c r="I48" s="1092">
        <f>+D48*C48</f>
        <v/>
      </c>
    </row>
    <row r="49" ht="18" customHeight="1">
      <c r="B49" s="395" t="n">
        <v>2018</v>
      </c>
      <c r="C49" s="396" t="n">
        <v>0.0407</v>
      </c>
      <c r="D49" s="1088">
        <f>+IF(B49='REAJUST FISCAL'!$I$11,G.OCAS!$F$4,F48)</f>
        <v/>
      </c>
      <c r="E49" s="1089">
        <f>+IF(B49=$I$11,C49*$M$11*D49,IF(B49=$I$12,C49*$M$12*D49,C49*D49))</f>
        <v/>
      </c>
      <c r="F49" s="1090">
        <f>+D49+E49</f>
        <v/>
      </c>
      <c r="G49" s="400" t="inlineStr">
        <is>
          <t>Decreto  2391 de 2018</t>
        </is>
      </c>
      <c r="I49" s="1092">
        <f>+D49*C49</f>
        <v/>
      </c>
    </row>
    <row r="50" ht="18" customHeight="1">
      <c r="B50" s="395" t="n">
        <v>2019</v>
      </c>
      <c r="C50" s="401" t="n">
        <v>0.0336</v>
      </c>
      <c r="D50" s="1088">
        <f>+IF(B50='REAJUST FISCAL'!$I$11,G.OCAS!$F$4,F49)</f>
        <v/>
      </c>
      <c r="E50" s="1089">
        <f>+IF(B50=$I$11,C50*$M$11*D50,IF(B50=$I$12,C50*$M$12*D50,C50*D50))</f>
        <v/>
      </c>
      <c r="F50" s="1090">
        <f>+D50+E50</f>
        <v/>
      </c>
      <c r="G50" s="400" t="inlineStr">
        <is>
          <t>Decreto 2373 de 2019</t>
        </is>
      </c>
      <c r="I50" s="1092">
        <f>+D50*C50</f>
        <v/>
      </c>
    </row>
    <row r="51" ht="18" customHeight="1">
      <c r="B51" s="395" t="n">
        <v>2020</v>
      </c>
      <c r="C51" s="401" t="n">
        <v>0.039</v>
      </c>
      <c r="D51" s="1088">
        <f>+IF(B51='REAJUST FISCAL'!$I$11,G.OCAS!$F$4,F50)</f>
        <v/>
      </c>
      <c r="E51" s="1089">
        <f>+IF(B51=$I$11,C51*$M$11*D51,IF(B51=$I$12,C51*$M$12*D51,C51*D51))</f>
        <v/>
      </c>
      <c r="F51" s="1090">
        <f>+D51+E51</f>
        <v/>
      </c>
      <c r="G51" s="400" t="inlineStr">
        <is>
          <t>Decreto 1763 de 2020</t>
        </is>
      </c>
      <c r="I51" s="1092">
        <f>+D51*C51</f>
        <v/>
      </c>
    </row>
    <row r="52" ht="18" customHeight="1">
      <c r="B52" s="395" t="n">
        <v>2021</v>
      </c>
      <c r="C52" s="401" t="n">
        <v>0.0197</v>
      </c>
      <c r="D52" s="1088">
        <f>+IF(B52='REAJUST FISCAL'!$I$11,G.OCAS!$F$4,F51)</f>
        <v/>
      </c>
      <c r="E52" s="1089">
        <f>+IF(B52=$I$11,C52*$M$11*D52,IF(B52=$I$12,C52*$M$12*D52,C52*D52))</f>
        <v/>
      </c>
      <c r="F52" s="1090">
        <f>+D52+E52</f>
        <v/>
      </c>
      <c r="G52" s="400" t="inlineStr">
        <is>
          <t>Decreto 1846 de 2021</t>
        </is>
      </c>
      <c r="I52" s="1092">
        <f>+D52*C52</f>
        <v/>
      </c>
    </row>
    <row r="53" ht="18" customHeight="1">
      <c r="B53" s="395" t="n">
        <v>2022</v>
      </c>
      <c r="C53" s="401" t="n">
        <v>0.0467</v>
      </c>
      <c r="D53" s="1088">
        <f>+IF(B53='REAJUST FISCAL'!$I$11,G.OCAS!$F$4,F52)</f>
        <v/>
      </c>
      <c r="E53" s="1089">
        <f>+IF(B53=$I$11,C53*$M$11*D53,IF(B53=$I$12,C53*$M$12*D53,C53*D53))</f>
        <v/>
      </c>
      <c r="F53" s="1090">
        <f>+D53+E53</f>
        <v/>
      </c>
      <c r="G53" s="402" t="inlineStr">
        <is>
          <t>Decreto 2609 de 2022</t>
        </is>
      </c>
      <c r="I53" s="1092">
        <f>+D53*C53</f>
        <v/>
      </c>
    </row>
    <row r="54" ht="18" customHeight="1">
      <c r="B54" s="403" t="n">
        <v>2023</v>
      </c>
      <c r="C54" s="401" t="n">
        <v>0.124</v>
      </c>
      <c r="D54" s="1088">
        <f>+IF(B54='REAJUST FISCAL'!$I$11,G.OCAS!$F$4,F53)</f>
        <v/>
      </c>
      <c r="E54" s="1089">
        <f>+IF(B54=$I$11,C54*$M$11*D54,IF(B54=$I$12,C54*$M$12*D54,C54*D54))</f>
        <v/>
      </c>
      <c r="F54" s="1090">
        <f>+D54+E54</f>
        <v/>
      </c>
      <c r="G54" s="402" t="inlineStr">
        <is>
          <t>Decreto 128 de 2024</t>
        </is>
      </c>
      <c r="I54" s="1092">
        <f>+D54*C54</f>
        <v/>
      </c>
    </row>
    <row r="55" ht="18" customHeight="1">
      <c r="B55" s="403" t="n">
        <v>2024</v>
      </c>
      <c r="C55" s="401" t="n">
        <v>0.1097</v>
      </c>
      <c r="D55" s="1088">
        <f>+IF(B55='REAJUST FISCAL'!$I$11,G.OCAS!$F$4,F54)</f>
        <v/>
      </c>
      <c r="E55" s="1089">
        <f>+IF(B55=$I$11,C55*$M$11*D55,IF(B55=$I$12,C55*$M$12*D55,C55*D55))</f>
        <v/>
      </c>
      <c r="F55" s="1090">
        <f>+D55+E55</f>
        <v/>
      </c>
      <c r="G55" s="402" t="inlineStr">
        <is>
          <t>Decreto 174 de 2025</t>
        </is>
      </c>
      <c r="I55" s="1092">
        <f>+D55*C55</f>
        <v/>
      </c>
    </row>
    <row r="56" ht="18" customHeight="1">
      <c r="B56" s="429" t="n">
        <v>2025</v>
      </c>
      <c r="C56" s="401" t="n">
        <v>0.0581</v>
      </c>
      <c r="D56" s="1088">
        <f>+IF(B56='REAJUST FISCAL'!$I$11,G.OCAS!$F$4,F55)</f>
        <v/>
      </c>
      <c r="E56" s="1089">
        <f>+IF(B56=$I$11,C56*$M$11*D56,IF(B56=$I$12,C56*$M$12*D56,C56*D56))</f>
        <v/>
      </c>
      <c r="F56" s="1090">
        <f>+D56+E56</f>
        <v/>
      </c>
      <c r="G56" s="402" t="inlineStr">
        <is>
          <t>Decreto 0049 de 2026</t>
        </is>
      </c>
      <c r="I56" s="1092" t="n"/>
    </row>
    <row r="57" ht="18" customHeight="1">
      <c r="B57" s="1093" t="inlineStr">
        <is>
          <t>TOTAL REAJUSTE</t>
        </is>
      </c>
      <c r="C57" s="1094" t="n"/>
      <c r="D57" s="1094" t="n"/>
      <c r="E57" s="1095" t="n"/>
      <c r="F57" s="1096">
        <f>F56</f>
        <v/>
      </c>
      <c r="G57" s="403" t="n"/>
    </row>
    <row r="60" ht="6" customFormat="1" customHeight="1" s="411"/>
    <row r="64">
      <c r="B64" s="393" t="inlineStr">
        <is>
          <t>AÑO</t>
        </is>
      </c>
      <c r="C64" s="393" t="inlineStr">
        <is>
          <t>%</t>
        </is>
      </c>
      <c r="D64" s="1087" t="inlineStr">
        <is>
          <t>VALOR BASE</t>
        </is>
      </c>
      <c r="E64" s="393" t="inlineStr">
        <is>
          <t>REAJUSTE</t>
        </is>
      </c>
      <c r="F64" s="393" t="inlineStr">
        <is>
          <t>TOTAL REAJUSTADO</t>
        </is>
      </c>
      <c r="G64" s="393" t="inlineStr">
        <is>
          <t>Normatividad</t>
        </is>
      </c>
    </row>
    <row r="65" ht="17" customHeight="1">
      <c r="B65" s="395" t="n">
        <v>1974</v>
      </c>
      <c r="C65" s="396" t="n">
        <v>0.08</v>
      </c>
      <c r="D65" s="1088">
        <f>+IF(B65='REAJUST FISCAL'!$I$69,G.OCAS!$F$4,0)</f>
        <v/>
      </c>
      <c r="E65" s="1089">
        <f>+IF(B65=$I$69,C65*$M$69*D65,IF(B65=$I$70,C65*$M$70*D65,C65*D65))</f>
        <v/>
      </c>
      <c r="F65" s="1090">
        <f>+'REAJUST FISCAL'!D65+E65</f>
        <v/>
      </c>
      <c r="G65" s="400" t="inlineStr">
        <is>
          <t>Decreto 2247 de 1974</t>
        </is>
      </c>
    </row>
    <row r="66" ht="17" customHeight="1">
      <c r="B66" s="395" t="n">
        <v>1975</v>
      </c>
      <c r="C66" s="396" t="n">
        <v>0.08</v>
      </c>
      <c r="D66" s="1088">
        <f>+IF('REAJUST FISCAL'!B66='REAJUST FISCAL'!$I$69,G.OCAS!$F$18,'REAJUST FISCAL'!F65)</f>
        <v/>
      </c>
      <c r="E66" s="1089">
        <f>+IF(B66=$I$69,C66*$M$69*D66,IF(B66=$I$70,C66*$M$70*D66,C66*D66))</f>
        <v/>
      </c>
      <c r="F66" s="1090">
        <f>+D66+E66</f>
        <v/>
      </c>
      <c r="G66" s="400" t="inlineStr">
        <is>
          <t>Decreto 187 de 1975</t>
        </is>
      </c>
    </row>
    <row r="67" ht="17" customHeight="1">
      <c r="B67" s="395" t="n">
        <v>1976</v>
      </c>
      <c r="C67" s="396" t="n">
        <v>0.08</v>
      </c>
      <c r="D67" s="1088">
        <f>+IF('REAJUST FISCAL'!B67='REAJUST FISCAL'!$I$69,G.OCAS!$F$18,'REAJUST FISCAL'!F66)</f>
        <v/>
      </c>
      <c r="E67" s="1089">
        <f>+IF(B67=$I$69,C67*$M$69*D67,IF(B67=$I$70,C67*$M$70*D67,C67*D67))</f>
        <v/>
      </c>
      <c r="F67" s="1090">
        <f>+D67+E67</f>
        <v/>
      </c>
      <c r="G67" s="400" t="inlineStr">
        <is>
          <t>Ley 19 de 1976</t>
        </is>
      </c>
    </row>
    <row r="68" ht="17" customHeight="1">
      <c r="B68" s="395" t="n">
        <v>1977</v>
      </c>
      <c r="C68" s="396" t="n">
        <v>0.14</v>
      </c>
      <c r="D68" s="1088">
        <f>+IF('REAJUST FISCAL'!B68='REAJUST FISCAL'!$I$69,G.OCAS!$F$18,'REAJUST FISCAL'!F67)</f>
        <v/>
      </c>
      <c r="E68" s="1089">
        <f>+IF(B68=$I$69,C68*$M$69*D68,IF(B68=$I$70,C68*$M$70*D68,C68*D68))</f>
        <v/>
      </c>
      <c r="F68" s="1090">
        <f>+D68+E68</f>
        <v/>
      </c>
      <c r="G68" s="400" t="inlineStr">
        <is>
          <t>Ley 54 de 1977</t>
        </is>
      </c>
    </row>
    <row r="69" ht="19" customHeight="1">
      <c r="B69" s="395" t="n">
        <v>1978</v>
      </c>
      <c r="C69" s="396" t="n">
        <v>0.095</v>
      </c>
      <c r="D69" s="1088">
        <f>+IF('REAJUST FISCAL'!B69='REAJUST FISCAL'!$I$69,G.OCAS!$F$18,'REAJUST FISCAL'!F68)</f>
        <v/>
      </c>
      <c r="E69" s="1089">
        <f>+IF(B69=$I$69,C69*$M$69*D69,IF(B69=$I$70,C69*$M$70*D69,C69*D69))</f>
        <v/>
      </c>
      <c r="F69" s="1090">
        <f>+D69+E69</f>
        <v/>
      </c>
      <c r="G69" s="400" t="inlineStr">
        <is>
          <t>Decreto 2114 de 1978</t>
        </is>
      </c>
      <c r="I69" s="412">
        <f>+YEAR(G.OCAS!F19)</f>
        <v/>
      </c>
      <c r="J69" s="412">
        <f>+CONCATENATE("31/12/",+I69)</f>
        <v/>
      </c>
      <c r="K69" s="412" t="n">
        <v>360</v>
      </c>
      <c r="L69" s="1097">
        <f>+_xlfn.DAYS(J69,G.OCAS!F19)</f>
        <v/>
      </c>
      <c r="M69" s="414">
        <f>+L69/K69</f>
        <v/>
      </c>
      <c r="N69" s="415">
        <f>+M69*'REAJUST FISCAL'!C110</f>
        <v/>
      </c>
    </row>
    <row r="70" ht="18" customHeight="1">
      <c r="B70" s="395" t="n">
        <v>1979</v>
      </c>
      <c r="C70" s="396" t="n">
        <v>0.244</v>
      </c>
      <c r="D70" s="1088">
        <f>+IF('REAJUST FISCAL'!B70='REAJUST FISCAL'!$I$69,G.OCAS!$F$18,'REAJUST FISCAL'!F69)</f>
        <v/>
      </c>
      <c r="E70" s="1089">
        <f>+IF(B70=$I$69,C70*$M$69*D70,IF(B70=$I$70,C70*$M$70*D70,C70*D70))</f>
        <v/>
      </c>
      <c r="F70" s="1090">
        <f>+D70+E70</f>
        <v/>
      </c>
      <c r="G70" s="400" t="inlineStr">
        <is>
          <t>Ley 20 de 1979 /Decreto 2326 de 1979</t>
        </is>
      </c>
      <c r="I70" s="412">
        <f>+YEAR(G.OCAS!F20)</f>
        <v/>
      </c>
      <c r="J70" s="416" t="n">
        <v>45292</v>
      </c>
      <c r="K70" s="412" t="n">
        <v>360</v>
      </c>
      <c r="L70" s="1097">
        <f>+_xlfn.DAYS(G.OCAS!F20,J70)</f>
        <v/>
      </c>
      <c r="M70" s="414">
        <f>+L70/K70</f>
        <v/>
      </c>
    </row>
    <row r="71" ht="17" customHeight="1">
      <c r="B71" s="395" t="n">
        <v>1980</v>
      </c>
      <c r="C71" s="396" t="n">
        <v>0.2472</v>
      </c>
      <c r="D71" s="1088">
        <f>+IF('REAJUST FISCAL'!B71='REAJUST FISCAL'!$I$69,G.OCAS!$F$18,'REAJUST FISCAL'!F70)</f>
        <v/>
      </c>
      <c r="E71" s="1089">
        <f>+IF(B71=$I$69,C71*$M$69*D71,IF(B71=$I$70,C71*$M$70*D71,C71*D71))</f>
        <v/>
      </c>
      <c r="F71" s="1090">
        <f>+D71+E71</f>
        <v/>
      </c>
      <c r="G71" s="400" t="inlineStr">
        <is>
          <t>Decreto 2534 de 1980</t>
        </is>
      </c>
    </row>
    <row r="72" ht="17" customHeight="1">
      <c r="B72" s="395" t="n">
        <v>1981</v>
      </c>
      <c r="C72" s="396" t="n">
        <v>0.2775</v>
      </c>
      <c r="D72" s="1088">
        <f>+IF('REAJUST FISCAL'!B72='REAJUST FISCAL'!$I$69,G.OCAS!$F$18,'REAJUST FISCAL'!F71)</f>
        <v/>
      </c>
      <c r="E72" s="1089">
        <f>+IF(B72=$I$69,C72*$M$69*D72,IF(B72=$I$70,C72*$M$70*D72,C72*D72))</f>
        <v/>
      </c>
      <c r="F72" s="1090">
        <f>+D72+E72</f>
        <v/>
      </c>
      <c r="G72" s="400" t="inlineStr">
        <is>
          <t>Decreto 2655 de 1981</t>
        </is>
      </c>
    </row>
    <row r="73" ht="17" customHeight="1">
      <c r="B73" s="395" t="n">
        <v>1982</v>
      </c>
      <c r="C73" s="396" t="n">
        <v>0.2347</v>
      </c>
      <c r="D73" s="1088">
        <f>+IF('REAJUST FISCAL'!B73='REAJUST FISCAL'!$I$69,G.OCAS!$F$18,'REAJUST FISCAL'!F72)</f>
        <v/>
      </c>
      <c r="E73" s="1089">
        <f>+IF(B73=$I$69,C73*$M$69*D73,IF(B73=$I$70,C73*$M$70*D73,C73*D73))</f>
        <v/>
      </c>
      <c r="F73" s="1090">
        <f>+D73+E73</f>
        <v/>
      </c>
      <c r="G73" s="400" t="inlineStr">
        <is>
          <t>Decreto  2809 de 1982</t>
        </is>
      </c>
    </row>
    <row r="74" ht="17" customHeight="1">
      <c r="B74" s="395" t="n">
        <v>1983</v>
      </c>
      <c r="C74" s="396" t="n">
        <v>0.1942</v>
      </c>
      <c r="D74" s="1088">
        <f>+IF('REAJUST FISCAL'!B74='REAJUST FISCAL'!$I$69,G.OCAS!$F$18,'REAJUST FISCAL'!F73)</f>
        <v/>
      </c>
      <c r="E74" s="1089">
        <f>+IF(B74=$I$69,C74*$M$69*D74,IF(B74=$I$70,C74*$M$70*D74,C74*D74))</f>
        <v/>
      </c>
      <c r="F74" s="1090">
        <f>+D74+E74</f>
        <v/>
      </c>
      <c r="G74" s="400" t="inlineStr">
        <is>
          <t>Ley 9 de 1983/Decreto 2124 de 1983</t>
        </is>
      </c>
    </row>
    <row r="75" ht="17" customHeight="1">
      <c r="B75" s="395" t="n">
        <v>1984</v>
      </c>
      <c r="C75" s="396" t="n">
        <v>0.1517</v>
      </c>
      <c r="D75" s="1088">
        <f>+IF('REAJUST FISCAL'!B75='REAJUST FISCAL'!$I$69,G.OCAS!$F$18,'REAJUST FISCAL'!F74)</f>
        <v/>
      </c>
      <c r="E75" s="1089">
        <f>+IF(B75=$I$69,C75*$M$69*D75,IF(B75=$I$70,C75*$M$70*D75,C75*D75))</f>
        <v/>
      </c>
      <c r="F75" s="1090">
        <f>+D75+E75</f>
        <v/>
      </c>
      <c r="G75" s="400" t="inlineStr">
        <is>
          <t>Decreto 1843 de 1984</t>
        </is>
      </c>
    </row>
    <row r="76" ht="17" customHeight="1">
      <c r="B76" s="395" t="n">
        <v>1985</v>
      </c>
      <c r="C76" s="396" t="n">
        <v>0.2451</v>
      </c>
      <c r="D76" s="1088">
        <f>+IF('REAJUST FISCAL'!B76='REAJUST FISCAL'!$I$69,G.OCAS!$F$18,'REAJUST FISCAL'!F75)</f>
        <v/>
      </c>
      <c r="E76" s="1089">
        <f>+IF(B76=$I$69,C76*$M$69*D76,IF(B76=$I$70,C76*$M$70*D76,C76*D76))</f>
        <v/>
      </c>
      <c r="F76" s="1090">
        <f>+D76+E76</f>
        <v/>
      </c>
      <c r="G76" s="400" t="inlineStr">
        <is>
          <t>Decreto 2032 de 1985</t>
        </is>
      </c>
    </row>
    <row r="77" ht="17" customHeight="1">
      <c r="B77" s="395" t="n">
        <v>1986</v>
      </c>
      <c r="C77" s="396" t="n">
        <v>0.163</v>
      </c>
      <c r="D77" s="1088">
        <f>+IF('REAJUST FISCAL'!B77='REAJUST FISCAL'!$I$69,G.OCAS!$F$18,'REAJUST FISCAL'!F76)</f>
        <v/>
      </c>
      <c r="E77" s="1089">
        <f>+IF(B77=$I$69,C77*$M$69*D77,IF(B77=$I$70,C77*$M$70*D77,C77*D77))</f>
        <v/>
      </c>
      <c r="F77" s="1090">
        <f>+D77+E77</f>
        <v/>
      </c>
      <c r="G77" s="400" t="inlineStr">
        <is>
          <t>Ley 75 de 1986/Decreto 2444 de 1986</t>
        </is>
      </c>
      <c r="I77" s="1092" t="n"/>
    </row>
    <row r="78" ht="17" customHeight="1">
      <c r="B78" s="395" t="n">
        <v>1987</v>
      </c>
      <c r="C78" s="396" t="n">
        <v>0.1679</v>
      </c>
      <c r="D78" s="1088">
        <f>+IF('REAJUST FISCAL'!B78='REAJUST FISCAL'!$I$69,G.OCAS!$F$18,'REAJUST FISCAL'!F77)</f>
        <v/>
      </c>
      <c r="E78" s="1089">
        <f>+IF(B78=$I$69,C78*$M$69*D78,IF(B78=$I$70,C78*$M$70*D78,C78*D78))</f>
        <v/>
      </c>
      <c r="F78" s="1090">
        <f>+D78+E78</f>
        <v/>
      </c>
      <c r="G78" s="400" t="inlineStr">
        <is>
          <t>Decreto 59 de 1987</t>
        </is>
      </c>
    </row>
    <row r="79" ht="17" customHeight="1">
      <c r="B79" s="395" t="n">
        <v>1988</v>
      </c>
      <c r="C79" s="396" t="n">
        <v>0.2365</v>
      </c>
      <c r="D79" s="1088">
        <f>+IF('REAJUST FISCAL'!B79='REAJUST FISCAL'!$I$69,G.OCAS!$F$18,'REAJUST FISCAL'!F78)</f>
        <v/>
      </c>
      <c r="E79" s="1089">
        <f>+IF(B79=$I$69,C79*$M$69*D79,IF(B79=$I$70,C79*$M$70*D79,C79*D79))</f>
        <v/>
      </c>
      <c r="F79" s="1090">
        <f>+D79+E79</f>
        <v/>
      </c>
      <c r="G79" s="400" t="inlineStr">
        <is>
          <t>Decreto 2540 de 1987</t>
        </is>
      </c>
    </row>
    <row r="80" ht="17" customHeight="1">
      <c r="B80" s="395" t="n">
        <v>1989</v>
      </c>
      <c r="C80" s="396" t="n">
        <v>0.2799</v>
      </c>
      <c r="D80" s="1088">
        <f>+IF('REAJUST FISCAL'!B80='REAJUST FISCAL'!$I$69,G.OCAS!$F$18,'REAJUST FISCAL'!F79)</f>
        <v/>
      </c>
      <c r="E80" s="1089">
        <f>+IF(B80=$I$69,C80*$M$69*D80,IF(B80=$I$70,C80*$M$70*D80,C80*D80))</f>
        <v/>
      </c>
      <c r="F80" s="1090">
        <f>+D80+E80</f>
        <v/>
      </c>
      <c r="G80" s="400" t="inlineStr">
        <is>
          <t>Decreto 2671 de 1988</t>
        </is>
      </c>
    </row>
    <row r="81" ht="17" customHeight="1">
      <c r="B81" s="395" t="n">
        <v>1990</v>
      </c>
      <c r="C81" s="396" t="n">
        <v>0.2664</v>
      </c>
      <c r="D81" s="1088">
        <f>+IF('REAJUST FISCAL'!B81='REAJUST FISCAL'!$I$69,G.OCAS!$F$18,'REAJUST FISCAL'!F80)</f>
        <v/>
      </c>
      <c r="E81" s="1089">
        <f>+IF(B81=$I$69,C81*$M$69*D81,IF(B81=$I$70,C81*$M$70*D81,C81*D81))</f>
        <v/>
      </c>
      <c r="F81" s="1090">
        <f>+D81+E81</f>
        <v/>
      </c>
      <c r="G81" s="400" t="inlineStr">
        <is>
          <t>Decreto 624 de 1989 / Decreto 3018 de 1989</t>
        </is>
      </c>
    </row>
    <row r="82" ht="17" customHeight="1">
      <c r="B82" s="395" t="n">
        <v>1991</v>
      </c>
      <c r="C82" s="396" t="n">
        <v>0.3004</v>
      </c>
      <c r="D82" s="1088">
        <f>+IF('REAJUST FISCAL'!B82='REAJUST FISCAL'!$I$69,G.OCAS!$F$18,'REAJUST FISCAL'!F81)</f>
        <v/>
      </c>
      <c r="E82" s="1089">
        <f>+IF(B82=$I$69,C82*$M$69*D82,IF(B82=$I$70,C82*$M$70*D82,C82*D82))</f>
        <v/>
      </c>
      <c r="F82" s="1090">
        <f>+D82+E82</f>
        <v/>
      </c>
      <c r="G82" s="400" t="inlineStr">
        <is>
          <t>Decreto 3100 de 1990</t>
        </is>
      </c>
    </row>
    <row r="83" ht="17" customHeight="1">
      <c r="B83" s="395" t="n">
        <v>1992</v>
      </c>
      <c r="C83" s="396" t="n">
        <v>0.2981</v>
      </c>
      <c r="D83" s="1088">
        <f>+IF('REAJUST FISCAL'!B83='REAJUST FISCAL'!$I$69,G.OCAS!$F$18,'REAJUST FISCAL'!F82)</f>
        <v/>
      </c>
      <c r="E83" s="1089">
        <f>+IF(B83=$I$69,C83*$M$69*D83,IF(B83=$I$70,C83*$M$70*D83,C83*D83))</f>
        <v/>
      </c>
      <c r="F83" s="1090">
        <f>+D83+E83</f>
        <v/>
      </c>
      <c r="G83" s="400" t="inlineStr">
        <is>
          <t>Certificación DANE 102300</t>
        </is>
      </c>
    </row>
    <row r="84" ht="17" customHeight="1">
      <c r="B84" s="395" t="n">
        <v>1993</v>
      </c>
      <c r="C84" s="396" t="n">
        <v>0.262</v>
      </c>
      <c r="D84" s="1088">
        <f>+IF('REAJUST FISCAL'!B84='REAJUST FISCAL'!$I$69,G.OCAS!$F$18,'REAJUST FISCAL'!F83)</f>
        <v/>
      </c>
      <c r="E84" s="1089">
        <f>+IF(B84=$I$69,C84*$M$69*D84,IF(B84=$I$70,C84*$M$70*D84,C84*D84))</f>
        <v/>
      </c>
      <c r="F84" s="1090">
        <f>+D84+E84</f>
        <v/>
      </c>
      <c r="G84" s="400" t="inlineStr">
        <is>
          <t>Certificación DANE 102294</t>
        </is>
      </c>
    </row>
    <row r="85" ht="17" customHeight="1">
      <c r="B85" s="395" t="n">
        <v>1994</v>
      </c>
      <c r="C85" s="396" t="n">
        <v>0.2208</v>
      </c>
      <c r="D85" s="1088">
        <f>+IF('REAJUST FISCAL'!B85='REAJUST FISCAL'!$I$69,G.OCAS!$F$18,'REAJUST FISCAL'!F84)</f>
        <v/>
      </c>
      <c r="E85" s="1089">
        <f>+IF(B85=$I$69,C85*$M$69*D85,IF(B85=$I$70,C85*$M$70*D85,C85*D85))</f>
        <v/>
      </c>
      <c r="F85" s="1090">
        <f>+D85+E85</f>
        <v/>
      </c>
      <c r="G85" s="400" t="inlineStr">
        <is>
          <t>Certificación DANE 102295</t>
        </is>
      </c>
    </row>
    <row r="86" ht="17" customHeight="1">
      <c r="B86" s="395" t="n">
        <v>1995</v>
      </c>
      <c r="C86" s="396" t="n">
        <v>0.2231</v>
      </c>
      <c r="D86" s="1088">
        <f>+IF('REAJUST FISCAL'!B86='REAJUST FISCAL'!$I$69,G.OCAS!$F$18,'REAJUST FISCAL'!F85)</f>
        <v/>
      </c>
      <c r="E86" s="1089">
        <f>+IF(B86=$I$69,C86*$M$69*D86,IF(B86=$I$70,C86*$M$70*D86,C86*D86))</f>
        <v/>
      </c>
      <c r="F86" s="1090">
        <f>+D86+E86</f>
        <v/>
      </c>
      <c r="G86" s="400" t="inlineStr">
        <is>
          <t>Decreto 00400 de 1996</t>
        </is>
      </c>
    </row>
    <row r="87" ht="17" customHeight="1">
      <c r="B87" s="395" t="n">
        <v>1996</v>
      </c>
      <c r="C87" s="396" t="n">
        <v>0.18</v>
      </c>
      <c r="D87" s="1088">
        <f>+IF('REAJUST FISCAL'!B87='REAJUST FISCAL'!$I$69,G.OCAS!$F$18,'REAJUST FISCAL'!F86)</f>
        <v/>
      </c>
      <c r="E87" s="1089">
        <f>+IF(B87=$I$69,C87*$M$69*D87,IF(B87=$I$70,C87*$M$70*D87,C87*D87))</f>
        <v/>
      </c>
      <c r="F87" s="1090">
        <f>+D87+E87</f>
        <v/>
      </c>
      <c r="G87" s="400" t="inlineStr">
        <is>
          <t>Decreto 00476 de 1997</t>
        </is>
      </c>
    </row>
    <row r="88" ht="17" customHeight="1">
      <c r="B88" s="395" t="n">
        <v>1997</v>
      </c>
      <c r="C88" s="396" t="n">
        <v>0.16</v>
      </c>
      <c r="D88" s="1088">
        <f>+IF('REAJUST FISCAL'!B88='REAJUST FISCAL'!$I$69,G.OCAS!$F$18,'REAJUST FISCAL'!F87)</f>
        <v/>
      </c>
      <c r="E88" s="1089">
        <f>+IF(B88=$I$69,C88*$M$69*D88,IF(B88=$I$70,C88*$M$70*D88,C88*D88))</f>
        <v/>
      </c>
      <c r="F88" s="1090">
        <f>+D88+E88</f>
        <v/>
      </c>
      <c r="G88" s="400" t="inlineStr">
        <is>
          <t>Decreto 00378 de 1998</t>
        </is>
      </c>
    </row>
    <row r="89" ht="17" customHeight="1">
      <c r="B89" s="395" t="n">
        <v>1998</v>
      </c>
      <c r="C89" s="396" t="n">
        <v>0.16</v>
      </c>
      <c r="D89" s="1088">
        <f>+IF('REAJUST FISCAL'!B89='REAJUST FISCAL'!$I$69,G.OCAS!$F$18,'REAJUST FISCAL'!F88)</f>
        <v/>
      </c>
      <c r="E89" s="1089">
        <f>+IF(B89=$I$69,C89*$M$69*D89,IF(B89=$I$70,C89*$M$70*D89,C89*D89))</f>
        <v/>
      </c>
      <c r="F89" s="1090">
        <f>+D89+E89</f>
        <v/>
      </c>
      <c r="G89" s="400" t="inlineStr">
        <is>
          <t>Decreto 00495 de 1999</t>
        </is>
      </c>
    </row>
    <row r="90" ht="17" customHeight="1">
      <c r="B90" s="395" t="n">
        <v>1999</v>
      </c>
      <c r="C90" s="396" t="n">
        <v>0.1707</v>
      </c>
      <c r="D90" s="1088">
        <f>+IF('REAJUST FISCAL'!B90='REAJUST FISCAL'!$I$69,G.OCAS!$F$18,'REAJUST FISCAL'!F89)</f>
        <v/>
      </c>
      <c r="E90" s="1089">
        <f>+IF(B90=$I$69,C90*$M$69*D90,IF(B90=$I$70,C90*$M$70*D90,C90*D90))</f>
        <v/>
      </c>
      <c r="F90" s="1090">
        <f>+D90+E90</f>
        <v/>
      </c>
      <c r="G90" s="400" t="inlineStr">
        <is>
          <t>Decreto 531 de 2000</t>
        </is>
      </c>
    </row>
    <row r="91" ht="17" customHeight="1">
      <c r="B91" s="395" t="n">
        <v>2000</v>
      </c>
      <c r="C91" s="396" t="n">
        <v>0.0936</v>
      </c>
      <c r="D91" s="1088">
        <f>+IF('REAJUST FISCAL'!B91='REAJUST FISCAL'!$I$69,G.OCAS!$F$18,'REAJUST FISCAL'!F90)</f>
        <v/>
      </c>
      <c r="E91" s="1089">
        <f>+IF(B91=$I$69,C91*$M$69*D91,IF(B91=$I$70,C91*$M$70*D91,C91*D91))</f>
        <v/>
      </c>
      <c r="F91" s="1090">
        <f>+D91+E91</f>
        <v/>
      </c>
      <c r="G91" s="400" t="inlineStr">
        <is>
          <t>Decreto 0333 de 2001</t>
        </is>
      </c>
    </row>
    <row r="92" ht="17" customHeight="1">
      <c r="B92" s="395" t="n">
        <v>2001</v>
      </c>
      <c r="C92" s="396" t="n">
        <v>0.0896</v>
      </c>
      <c r="D92" s="1088">
        <f>+IF('REAJUST FISCAL'!B92='REAJUST FISCAL'!$I$69,G.OCAS!$F$18,'REAJUST FISCAL'!F91)</f>
        <v/>
      </c>
      <c r="E92" s="1089">
        <f>+IF(B92=$I$69,C92*$M$69*D92,IF(B92=$I$70,C92*$M$70*D92,C92*D92))</f>
        <v/>
      </c>
      <c r="F92" s="1090">
        <f>+D92+E92</f>
        <v/>
      </c>
      <c r="G92" s="400" t="inlineStr">
        <is>
          <t>Decreto 00406 de 2002</t>
        </is>
      </c>
      <c r="I92" s="1092">
        <f>+D92*C92</f>
        <v/>
      </c>
    </row>
    <row r="93" ht="17" customHeight="1">
      <c r="B93" s="395" t="n">
        <v>2002</v>
      </c>
      <c r="C93" s="396" t="n">
        <v>0.06</v>
      </c>
      <c r="D93" s="1088">
        <f>+IF('REAJUST FISCAL'!B93='REAJUST FISCAL'!$I$69,G.OCAS!$F$18,'REAJUST FISCAL'!F92)</f>
        <v/>
      </c>
      <c r="E93" s="1089">
        <f>+IF(B93=$I$69,C93*$M$69*D93,IF(B93=$I$70,C93*$M$70*D93,C93*D93))</f>
        <v/>
      </c>
      <c r="F93" s="1090">
        <f>+D93+E93</f>
        <v/>
      </c>
      <c r="G93" s="400" t="inlineStr">
        <is>
          <t>Decreto 3257 de 2002</t>
        </is>
      </c>
      <c r="I93" s="1092">
        <f>+D93*C93</f>
        <v/>
      </c>
    </row>
    <row r="94" ht="17" customHeight="1">
      <c r="B94" s="395" t="n">
        <v>2003</v>
      </c>
      <c r="C94" s="396" t="n">
        <v>0.06</v>
      </c>
      <c r="D94" s="1088">
        <f>+IF('REAJUST FISCAL'!B94='REAJUST FISCAL'!$I$69,G.OCAS!$F$18,'REAJUST FISCAL'!F93)</f>
        <v/>
      </c>
      <c r="E94" s="1089">
        <f>+IF(B94=$I$69,C94*$M$69*D94,IF(B94=$I$70,C94*$M$70*D94,C94*D94))</f>
        <v/>
      </c>
      <c r="F94" s="1090">
        <f>+D94+E94</f>
        <v/>
      </c>
      <c r="G94" s="400" t="inlineStr">
        <is>
          <t>Decreto 03804 de 2003</t>
        </is>
      </c>
      <c r="I94" s="1092">
        <f>+D94*C94</f>
        <v/>
      </c>
    </row>
    <row r="95" ht="17" customHeight="1">
      <c r="B95" s="395" t="n">
        <v>2004</v>
      </c>
      <c r="C95" s="396" t="n">
        <v>0.06950000000000001</v>
      </c>
      <c r="D95" s="1088">
        <f>+IF('REAJUST FISCAL'!B95='REAJUST FISCAL'!$I$69,G.OCAS!$F$18,'REAJUST FISCAL'!F94)</f>
        <v/>
      </c>
      <c r="E95" s="1089">
        <f>+IF(B95=$I$69,C95*$M$69*D95,IF(B95=$I$70,C95*$M$70*D95,C95*D95))</f>
        <v/>
      </c>
      <c r="F95" s="1090">
        <f>+D95+E95</f>
        <v/>
      </c>
      <c r="G95" s="400" t="inlineStr">
        <is>
          <t>Decreto 4344 de 2003</t>
        </is>
      </c>
      <c r="I95" s="1092">
        <f>+D95*C95</f>
        <v/>
      </c>
    </row>
    <row r="96" ht="17" customHeight="1">
      <c r="B96" s="395" t="n">
        <v>2005</v>
      </c>
      <c r="C96" s="396" t="n">
        <v>0.061</v>
      </c>
      <c r="D96" s="1088">
        <f>+IF('REAJUST FISCAL'!B96='REAJUST FISCAL'!$I$69,G.OCAS!$F$18,'REAJUST FISCAL'!F95)</f>
        <v/>
      </c>
      <c r="E96" s="1089">
        <f>+IF(B96=$I$69,C96*$M$69*D96,IF(B96=$I$70,C96*$M$70*D96,C96*D96))</f>
        <v/>
      </c>
      <c r="F96" s="1090">
        <f>+D96+E96</f>
        <v/>
      </c>
      <c r="G96" s="400" t="inlineStr">
        <is>
          <t>Decreto 4715 de 2005</t>
        </is>
      </c>
      <c r="I96" s="1092">
        <f>+D96*C96</f>
        <v/>
      </c>
    </row>
    <row r="97" ht="17" customHeight="1">
      <c r="B97" s="395" t="n">
        <v>2006</v>
      </c>
      <c r="C97" s="396" t="n">
        <v>0.0487</v>
      </c>
      <c r="D97" s="1088">
        <f>+IF('REAJUST FISCAL'!B97='REAJUST FISCAL'!$I$69,G.OCAS!$F$18,'REAJUST FISCAL'!F96)</f>
        <v/>
      </c>
      <c r="E97" s="1089">
        <f>+IF(B97=$I$69,C97*$M$69*D97,IF(B97=$I$70,C97*$M$70*D97,C97*D97))</f>
        <v/>
      </c>
      <c r="F97" s="1090">
        <f>+D97+E97</f>
        <v/>
      </c>
      <c r="G97" s="400" t="inlineStr">
        <is>
          <t>Res. 15652 de 2006</t>
        </is>
      </c>
      <c r="I97" s="1092">
        <f>+D97*C97</f>
        <v/>
      </c>
    </row>
    <row r="98" ht="17" customHeight="1">
      <c r="B98" s="395" t="n">
        <v>2007</v>
      </c>
      <c r="C98" s="396" t="n">
        <v>0.0515</v>
      </c>
      <c r="D98" s="1088">
        <f>+IF('REAJUST FISCAL'!B98='REAJUST FISCAL'!$I$69,G.OCAS!$F$18,'REAJUST FISCAL'!F97)</f>
        <v/>
      </c>
      <c r="E98" s="1089">
        <f>+IF(B98=$I$69,C98*$M$69*D98,IF(B98=$I$70,C98*$M$70*D98,C98*D98))</f>
        <v/>
      </c>
      <c r="F98" s="1090">
        <f>+D98+E98</f>
        <v/>
      </c>
      <c r="G98" s="400" t="inlineStr">
        <is>
          <t xml:space="preserve"> Res.  15013 de 2007</t>
        </is>
      </c>
      <c r="I98" s="1092">
        <f>+D98*C98</f>
        <v/>
      </c>
    </row>
    <row r="99" ht="17" customHeight="1">
      <c r="B99" s="395" t="n">
        <v>2008</v>
      </c>
      <c r="C99" s="396" t="n">
        <v>0.0775</v>
      </c>
      <c r="D99" s="1088">
        <f>+IF('REAJUST FISCAL'!B99='REAJUST FISCAL'!$I$69,G.OCAS!$F$18,'REAJUST FISCAL'!F98)</f>
        <v/>
      </c>
      <c r="E99" s="1089">
        <f>+IF(B99=$I$69,C99*$M$69*D99,IF(B99=$I$70,C99*$M$70*D99,C99*D99))</f>
        <v/>
      </c>
      <c r="F99" s="1090">
        <f>+D99+E99</f>
        <v/>
      </c>
      <c r="G99" s="400" t="inlineStr">
        <is>
          <t>Decreto 4715 de 2008</t>
        </is>
      </c>
    </row>
    <row r="100" ht="17" customHeight="1">
      <c r="B100" s="395" t="n">
        <v>2009</v>
      </c>
      <c r="C100" s="396" t="n">
        <v>0.0333</v>
      </c>
      <c r="D100" s="1088">
        <f>+IF('REAJUST FISCAL'!B100='REAJUST FISCAL'!$I$69,G.OCAS!$F$18,'REAJUST FISCAL'!F99)</f>
        <v/>
      </c>
      <c r="E100" s="1089">
        <f>+IF(B100=$I$69,C100*$M$69*D100,IF(B100=$I$70,C100*$M$70*D100,C100*D100))</f>
        <v/>
      </c>
      <c r="F100" s="1090">
        <f>+D100+E100</f>
        <v/>
      </c>
      <c r="G100" s="400" t="inlineStr">
        <is>
          <t>Decreto  4930 de 2009</t>
        </is>
      </c>
      <c r="I100" s="1092">
        <f>+D100*C100</f>
        <v/>
      </c>
    </row>
    <row r="101" ht="17" customHeight="1">
      <c r="B101" s="395" t="n">
        <v>2010</v>
      </c>
      <c r="C101" s="396" t="n">
        <v>0.0235</v>
      </c>
      <c r="D101" s="1088">
        <f>+IF('REAJUST FISCAL'!B101='REAJUST FISCAL'!$I$69,G.OCAS!$F$18,'REAJUST FISCAL'!F100)</f>
        <v/>
      </c>
      <c r="E101" s="1089">
        <f>+IF(B101=$I$69,C101*$M$69*D101,IF(B101=$I$70,C101*$M$70*D101,C101*D101))</f>
        <v/>
      </c>
      <c r="F101" s="1090">
        <f>+D101+E101</f>
        <v/>
      </c>
      <c r="G101" s="400" t="inlineStr">
        <is>
          <t>Decreto  4837 de 2010</t>
        </is>
      </c>
      <c r="I101" s="1092">
        <f>+D101*C101</f>
        <v/>
      </c>
    </row>
    <row r="102" ht="17" customHeight="1">
      <c r="B102" s="395" t="n">
        <v>2011</v>
      </c>
      <c r="C102" s="396" t="n">
        <v>0.0365</v>
      </c>
      <c r="D102" s="1088">
        <f>+IF('REAJUST FISCAL'!B102='REAJUST FISCAL'!$I$69,G.OCAS!$F$18,'REAJUST FISCAL'!F101)</f>
        <v/>
      </c>
      <c r="E102" s="1089">
        <f>+IF(B102=$I$69,C102*$M$69*D102,IF(B102=$I$70,C102*$M$70*D102,C102*D102))</f>
        <v/>
      </c>
      <c r="F102" s="1090">
        <f>+'REAJUST FISCAL'!D102+E102</f>
        <v/>
      </c>
      <c r="G102" s="400" t="inlineStr">
        <is>
          <t>Decreto 4908 de 2011</t>
        </is>
      </c>
      <c r="I102" s="1092">
        <f>+'REAJUST FISCAL'!D102*C102</f>
        <v/>
      </c>
    </row>
    <row r="103" ht="17" customHeight="1">
      <c r="B103" s="395" t="n">
        <v>2012</v>
      </c>
      <c r="C103" s="396" t="n">
        <v>0.0304</v>
      </c>
      <c r="D103" s="1088">
        <f>+IF('REAJUST FISCAL'!B103='REAJUST FISCAL'!$I$69,G.OCAS!$F$18,'REAJUST FISCAL'!F102)</f>
        <v/>
      </c>
      <c r="E103" s="1089">
        <f>+IF(B103=$I$69,C103*$M$69*D103,IF(B103=$I$70,C103*$M$70*D103,C103*D103))</f>
        <v/>
      </c>
      <c r="F103" s="1090">
        <f>+D103+E103</f>
        <v/>
      </c>
      <c r="G103" s="400" t="inlineStr">
        <is>
          <t>Decreto 2714 de 2012</t>
        </is>
      </c>
      <c r="I103" s="1092">
        <f>+D103*C103</f>
        <v/>
      </c>
    </row>
    <row r="104" ht="17" customHeight="1">
      <c r="B104" s="395" t="n">
        <v>2013</v>
      </c>
      <c r="C104" s="396" t="n">
        <v>0.024</v>
      </c>
      <c r="D104" s="1088">
        <f>+IF('REAJUST FISCAL'!B104='REAJUST FISCAL'!$I$69,G.OCAS!$F$18,'REAJUST FISCAL'!F103)</f>
        <v/>
      </c>
      <c r="E104" s="1089">
        <f>+IF(B104=$I$69,C104*$M$69*D104,IF(B104=$I$70,C104*$M$70*D104,C104*D104))</f>
        <v/>
      </c>
      <c r="F104" s="1090">
        <f>+D104+E104</f>
        <v/>
      </c>
      <c r="G104" s="400" t="inlineStr">
        <is>
          <t>Decreto 2921 de 2013</t>
        </is>
      </c>
      <c r="I104" s="1092">
        <f>+D104*C104</f>
        <v/>
      </c>
    </row>
    <row r="105" ht="17" customHeight="1">
      <c r="B105" s="395" t="n">
        <v>2014</v>
      </c>
      <c r="C105" s="396" t="n">
        <v>0.0289</v>
      </c>
      <c r="D105" s="1088">
        <f>+IF('REAJUST FISCAL'!B105='REAJUST FISCAL'!$I$69,G.OCAS!$F$18,'REAJUST FISCAL'!F104)</f>
        <v/>
      </c>
      <c r="E105" s="1089">
        <f>+IF(B105=$I$69,C105*$M$69*D105,IF(B105=$I$70,C105*$M$70*D105,C105*D105))</f>
        <v/>
      </c>
      <c r="F105" s="1090">
        <f>+D105+E105</f>
        <v/>
      </c>
      <c r="G105" s="400" t="inlineStr">
        <is>
          <t>Decreto 2624 de 2014</t>
        </is>
      </c>
      <c r="I105" s="1092">
        <f>+D105*C105</f>
        <v/>
      </c>
    </row>
    <row r="106" ht="17" customHeight="1">
      <c r="B106" s="395" t="n">
        <v>2015</v>
      </c>
      <c r="C106" s="396" t="n">
        <v>0.0521</v>
      </c>
      <c r="D106" s="1088">
        <f>+IF('REAJUST FISCAL'!B106='REAJUST FISCAL'!$I$69,G.OCAS!$F$18,'REAJUST FISCAL'!F105)</f>
        <v/>
      </c>
      <c r="E106" s="1089">
        <f>+IF(B106=$I$69,C106*$M$69*D106,IF(B106=$I$70,C106*$M$70*D106,C106*D106))</f>
        <v/>
      </c>
      <c r="F106" s="1090">
        <f>+D106+E106</f>
        <v/>
      </c>
      <c r="G106" s="400" t="inlineStr">
        <is>
          <t>Decreto 2453 de 2015</t>
        </is>
      </c>
      <c r="I106" s="1092">
        <f>+D106*C106</f>
        <v/>
      </c>
    </row>
    <row r="107" ht="17" customHeight="1">
      <c r="B107" s="395" t="n">
        <v>2016</v>
      </c>
      <c r="C107" s="396" t="n">
        <v>0.0708</v>
      </c>
      <c r="D107" s="1088">
        <f>+IF('REAJUST FISCAL'!B107='REAJUST FISCAL'!$I$69,G.OCAS!$F$18,'REAJUST FISCAL'!F106)</f>
        <v/>
      </c>
      <c r="E107" s="1089">
        <f>+IF(B107=$I$69,C107*$M$69*D107,IF(B107=$I$70,C107*$M$70*D107,C107*D107))</f>
        <v/>
      </c>
      <c r="F107" s="1090">
        <f>+D107+E107</f>
        <v/>
      </c>
      <c r="G107" s="400" t="inlineStr">
        <is>
          <t>Decreto 2202 de 2016</t>
        </is>
      </c>
      <c r="I107" s="1092">
        <f>+D107*C107</f>
        <v/>
      </c>
    </row>
    <row r="108" ht="17" customHeight="1">
      <c r="B108" s="395" t="n">
        <v>2017</v>
      </c>
      <c r="C108" s="396" t="n">
        <v>0.0407</v>
      </c>
      <c r="D108" s="1088">
        <f>+IF('REAJUST FISCAL'!B108='REAJUST FISCAL'!$I$69,G.OCAS!$F$18,'REAJUST FISCAL'!F107)</f>
        <v/>
      </c>
      <c r="E108" s="1089">
        <f>+IF(B108=$I$69,C108*$M$69*D108,IF(B108=$I$70,C108*$M$70*D108,C108*D108))</f>
        <v/>
      </c>
      <c r="F108" s="1090">
        <f>+D108+E108</f>
        <v/>
      </c>
      <c r="G108" s="400" t="inlineStr">
        <is>
          <t>Decreto 2169 de 2017</t>
        </is>
      </c>
      <c r="I108" s="1092">
        <f>+D108*C108</f>
        <v/>
      </c>
    </row>
    <row r="109" ht="17" customHeight="1">
      <c r="B109" s="395" t="n">
        <v>2018</v>
      </c>
      <c r="C109" s="396" t="n">
        <v>0.0407</v>
      </c>
      <c r="D109" s="1088">
        <f>+IF('REAJUST FISCAL'!B109='REAJUST FISCAL'!$I$69,G.OCAS!$F$18,'REAJUST FISCAL'!F108)</f>
        <v/>
      </c>
      <c r="E109" s="1089">
        <f>+IF(B109=$I$69,C109*$M$69*D109,IF(B109=$I$70,C109*$M$70*D109,C109*D109))</f>
        <v/>
      </c>
      <c r="F109" s="1090">
        <f>+D109+E109</f>
        <v/>
      </c>
      <c r="G109" s="400" t="inlineStr">
        <is>
          <t>Decreto  2391 de 2018</t>
        </is>
      </c>
      <c r="I109" s="1092">
        <f>+D109*C109</f>
        <v/>
      </c>
    </row>
    <row r="110" ht="17" customHeight="1">
      <c r="B110" s="395" t="n">
        <v>2019</v>
      </c>
      <c r="C110" s="401" t="n">
        <v>0.0336</v>
      </c>
      <c r="D110" s="1088">
        <f>+IF('REAJUST FISCAL'!B110='REAJUST FISCAL'!$I$69,G.OCAS!$F$18,'REAJUST FISCAL'!F109)</f>
        <v/>
      </c>
      <c r="E110" s="1089">
        <f>+IF(B110=$I$69,C110*$M$69*D110,IF(B110=$I$70,C110*$M$70*D110,C110*D110))</f>
        <v/>
      </c>
      <c r="F110" s="1090">
        <f>+D110+E110</f>
        <v/>
      </c>
      <c r="G110" s="400" t="inlineStr">
        <is>
          <t>Decreto 2373 de 2019</t>
        </is>
      </c>
      <c r="I110" s="1092">
        <f>+D110*C110</f>
        <v/>
      </c>
    </row>
    <row r="111" ht="17" customHeight="1">
      <c r="B111" s="395" t="n">
        <v>2020</v>
      </c>
      <c r="C111" s="401" t="n">
        <v>0.039</v>
      </c>
      <c r="D111" s="1088">
        <f>+IF('REAJUST FISCAL'!B111='REAJUST FISCAL'!$I$69,G.OCAS!$F$18,'REAJUST FISCAL'!F110)</f>
        <v/>
      </c>
      <c r="E111" s="1089">
        <f>+IF(B111=$I$69,C111*$M$69*'REAJUST FISCAL'!D111,IF(B111=$I$70,C111*$M$70*'REAJUST FISCAL'!D111,C111*'REAJUST FISCAL'!D111))</f>
        <v/>
      </c>
      <c r="F111" s="1090">
        <f>+'REAJUST FISCAL'!D111+E111</f>
        <v/>
      </c>
      <c r="G111" s="400" t="inlineStr">
        <is>
          <t>Decreto 1763 de 2020</t>
        </is>
      </c>
      <c r="I111" s="1092">
        <f>+'REAJUST FISCAL'!D111*C111</f>
        <v/>
      </c>
    </row>
    <row r="112" ht="17" customHeight="1">
      <c r="B112" s="395" t="n">
        <v>2021</v>
      </c>
      <c r="C112" s="401" t="n">
        <v>0.0197</v>
      </c>
      <c r="D112" s="1088">
        <f>+IF('REAJUST FISCAL'!B112='REAJUST FISCAL'!$I$69,G.OCAS!$F$18,'REAJUST FISCAL'!F111)</f>
        <v/>
      </c>
      <c r="E112" s="1089">
        <f>+IF(B112=$I$69,C112*$M$69*D112,IF(B112=$I$70,C112*$M$70*D112,C112*D112))</f>
        <v/>
      </c>
      <c r="F112" s="1090">
        <f>+D112+E112</f>
        <v/>
      </c>
      <c r="G112" s="400" t="inlineStr">
        <is>
          <t>Decreto 1846 de 2021</t>
        </is>
      </c>
      <c r="I112" s="1092">
        <f>+D112*C112</f>
        <v/>
      </c>
    </row>
    <row r="113" ht="17" customHeight="1">
      <c r="B113" s="395" t="n">
        <v>2022</v>
      </c>
      <c r="C113" s="401" t="n">
        <v>0.0467</v>
      </c>
      <c r="D113" s="1088">
        <f>+IF('REAJUST FISCAL'!B113='REAJUST FISCAL'!$I$69,G.OCAS!$F$18,'REAJUST FISCAL'!F112)</f>
        <v/>
      </c>
      <c r="E113" s="1089">
        <f>+IF(B113=$I$69,C113*$M$69*D113,IF(B113=$I$70,C113*$M$70*D113,C113*D113))</f>
        <v/>
      </c>
      <c r="F113" s="1090">
        <f>+D113+E113</f>
        <v/>
      </c>
      <c r="G113" s="402" t="inlineStr">
        <is>
          <t>Decreto 2609 de 2022</t>
        </is>
      </c>
      <c r="I113" s="1092">
        <f>+D113*C113</f>
        <v/>
      </c>
    </row>
    <row r="114" ht="17" customHeight="1">
      <c r="B114" s="403" t="n">
        <v>2023</v>
      </c>
      <c r="C114" s="401" t="n">
        <v>0.124</v>
      </c>
      <c r="D114" s="1088">
        <f>+IF('REAJUST FISCAL'!B114='REAJUST FISCAL'!$I$69,G.OCAS!$F$18,'REAJUST FISCAL'!F113)</f>
        <v/>
      </c>
      <c r="E114" s="1089">
        <f>+IF(B114=$I$69,C114*$M$69*D114,IF(B114=$I$70,C114*$M$70*D114,C114*D114))</f>
        <v/>
      </c>
      <c r="F114" s="1090">
        <f>+D114+E114</f>
        <v/>
      </c>
      <c r="G114" s="402" t="inlineStr">
        <is>
          <t>Decreto 128 de 2024</t>
        </is>
      </c>
      <c r="I114" s="1092">
        <f>+D114*C114</f>
        <v/>
      </c>
    </row>
    <row r="115" ht="17" customHeight="1">
      <c r="B115" s="403" t="n">
        <v>2024</v>
      </c>
      <c r="C115" s="401" t="n">
        <v>0.1097</v>
      </c>
      <c r="D115" s="1088">
        <f>+IF('REAJUST FISCAL'!B115='REAJUST FISCAL'!$I$69,G.OCAS!$F$18,'REAJUST FISCAL'!F114)</f>
        <v/>
      </c>
      <c r="E115" s="1089">
        <f>+IF(B115=$I$69,C115*$M$69*D115,IF(B115=$I$70,C115*$M$70*D115,C115*D115))</f>
        <v/>
      </c>
      <c r="F115" s="1090">
        <f>+D115+E115</f>
        <v/>
      </c>
      <c r="G115" s="402" t="inlineStr">
        <is>
          <t>Decreto 174 de 2025</t>
        </is>
      </c>
      <c r="I115" s="1092">
        <f>+D115*C115</f>
        <v/>
      </c>
    </row>
    <row r="116" ht="17" customHeight="1">
      <c r="B116" s="403" t="n">
        <v>2025</v>
      </c>
      <c r="C116" s="401" t="n">
        <v>0.0581</v>
      </c>
      <c r="D116" s="1088">
        <f>+IF('REAJUST FISCAL'!B116='REAJUST FISCAL'!$I$69,G.OCAS!$F$18,'REAJUST FISCAL'!F115)</f>
        <v/>
      </c>
      <c r="E116" s="1089">
        <f>+IF(B116=$I$69,C116*$M$69*D116,IF(B116=$I$70,C116*$M$70*D116,C116*D116))</f>
        <v/>
      </c>
      <c r="F116" s="1090">
        <f>+D116+E116</f>
        <v/>
      </c>
      <c r="G116" s="402" t="inlineStr">
        <is>
          <t>Decreto 0049 de 2026</t>
        </is>
      </c>
      <c r="I116" s="1092" t="n"/>
    </row>
    <row r="117">
      <c r="B117" s="1093" t="inlineStr">
        <is>
          <t>TOTAL REAJUSTE</t>
        </is>
      </c>
      <c r="C117" s="1094" t="n"/>
      <c r="D117" s="1094" t="n"/>
      <c r="E117" s="1095" t="n"/>
      <c r="F117" s="1096">
        <f>F116</f>
        <v/>
      </c>
      <c r="G117" s="403" t="n"/>
    </row>
    <row r="121" customFormat="1" s="411"/>
    <row r="126">
      <c r="B126" s="393" t="inlineStr">
        <is>
          <t>AÑO</t>
        </is>
      </c>
      <c r="C126" s="393" t="inlineStr">
        <is>
          <t>%</t>
        </is>
      </c>
      <c r="D126" s="1087" t="inlineStr">
        <is>
          <t>VALOR BASE</t>
        </is>
      </c>
      <c r="E126" s="393" t="inlineStr">
        <is>
          <t>REAJUSTE</t>
        </is>
      </c>
      <c r="F126" s="393" t="inlineStr">
        <is>
          <t>TOTAL REAJUSTADO</t>
        </is>
      </c>
      <c r="G126" s="393" t="inlineStr">
        <is>
          <t>Normatividad</t>
        </is>
      </c>
    </row>
    <row r="127" ht="17" customHeight="1">
      <c r="B127" s="395" t="n">
        <v>1974</v>
      </c>
      <c r="C127" s="396" t="n">
        <v>0.08</v>
      </c>
      <c r="D127" s="1088">
        <f>+IF('REAJUST FISCAL'!B127='REAJUST FISCAL'!$I$69,G.OCAS!$F$31,0)</f>
        <v/>
      </c>
      <c r="E127" s="1089">
        <f>+IF(B127=$I$139,C127*$M$139*'REAJUST FISCAL'!D127,IF(B127=$I$140,C127*$M$140*'REAJUST FISCAL'!D127,C127*'REAJUST FISCAL'!D127))</f>
        <v/>
      </c>
      <c r="F127" s="1090">
        <f>+'REAJUST FISCAL'!D127+E127</f>
        <v/>
      </c>
      <c r="G127" s="400" t="inlineStr">
        <is>
          <t>Decreto 2247 de 1974</t>
        </is>
      </c>
    </row>
    <row r="128" ht="17" customHeight="1">
      <c r="B128" s="395" t="n">
        <v>1975</v>
      </c>
      <c r="C128" s="396" t="n">
        <v>0.08</v>
      </c>
      <c r="D128" s="1088">
        <f>+IF('REAJUST FISCAL'!B128='REAJUST FISCAL'!$I$139,G.OCAS!$F$32,'REAJUST FISCAL'!F127)</f>
        <v/>
      </c>
      <c r="E128" s="1089">
        <f>+IF(B128=$I$139,C128*$M$139*'REAJUST FISCAL'!D128,IF(B128=$I$140,C128*$M$140*'REAJUST FISCAL'!D128,C128*'REAJUST FISCAL'!D128))</f>
        <v/>
      </c>
      <c r="F128" s="1090">
        <f>+'REAJUST FISCAL'!D128+E128</f>
        <v/>
      </c>
      <c r="G128" s="400" t="inlineStr">
        <is>
          <t>Decreto 187 de 1975</t>
        </is>
      </c>
    </row>
    <row r="129" ht="17" customHeight="1">
      <c r="B129" s="395" t="n">
        <v>1976</v>
      </c>
      <c r="C129" s="396" t="n">
        <v>0.08</v>
      </c>
      <c r="D129" s="1088">
        <f>+IF('REAJUST FISCAL'!B129='REAJUST FISCAL'!$I$139,G.OCAS!$F$32,'REAJUST FISCAL'!F128)</f>
        <v/>
      </c>
      <c r="E129" s="1089">
        <f>+IF(B129=$I$139,C129*$M$139*'REAJUST FISCAL'!D129,IF(B129=$I$140,C129*$M$140*'REAJUST FISCAL'!D129,C129*'REAJUST FISCAL'!D129))</f>
        <v/>
      </c>
      <c r="F129" s="1090">
        <f>+D129+E129</f>
        <v/>
      </c>
      <c r="G129" s="400" t="inlineStr">
        <is>
          <t>Ley 19 de 1976</t>
        </is>
      </c>
    </row>
    <row r="130" ht="17" customHeight="1">
      <c r="B130" s="395" t="n">
        <v>1977</v>
      </c>
      <c r="C130" s="396" t="n">
        <v>0.14</v>
      </c>
      <c r="D130" s="1088">
        <f>+IF('REAJUST FISCAL'!B130='REAJUST FISCAL'!$I$139,G.OCAS!$F$32,'REAJUST FISCAL'!F129)</f>
        <v/>
      </c>
      <c r="E130" s="1089">
        <f>+IF(B130=$I$139,C130*$M$139*'REAJUST FISCAL'!D130,IF(B130=$I$140,C130*$M$140*'REAJUST FISCAL'!D130,C130*'REAJUST FISCAL'!D130))</f>
        <v/>
      </c>
      <c r="F130" s="1090">
        <f>+D130+E130</f>
        <v/>
      </c>
      <c r="G130" s="400" t="inlineStr">
        <is>
          <t>Ley 54 de 1977</t>
        </is>
      </c>
    </row>
    <row r="131" ht="17" customHeight="1">
      <c r="B131" s="395" t="n">
        <v>1978</v>
      </c>
      <c r="C131" s="396" t="n">
        <v>0.095</v>
      </c>
      <c r="D131" s="1088">
        <f>+IF('REAJUST FISCAL'!B131='REAJUST FISCAL'!$I$139,G.OCAS!$F$32,'REAJUST FISCAL'!F130)</f>
        <v/>
      </c>
      <c r="E131" s="1089">
        <f>+IF(B131=$I$139,C131*$M$139*'REAJUST FISCAL'!D131,IF(B131=$I$140,C131*$M$140*'REAJUST FISCAL'!D131,C131*'REAJUST FISCAL'!D131))</f>
        <v/>
      </c>
      <c r="F131" s="1090">
        <f>+D131+E131</f>
        <v/>
      </c>
      <c r="G131" s="400" t="inlineStr">
        <is>
          <t>Decreto 2114 de 1978</t>
        </is>
      </c>
    </row>
    <row r="132" ht="17" customHeight="1">
      <c r="B132" s="395" t="n">
        <v>1979</v>
      </c>
      <c r="C132" s="396" t="n">
        <v>0.244</v>
      </c>
      <c r="D132" s="1088">
        <f>+IF('REAJUST FISCAL'!B132='REAJUST FISCAL'!$I$139,G.OCAS!$F$32,'REAJUST FISCAL'!F131)</f>
        <v/>
      </c>
      <c r="E132" s="1089">
        <f>+IF(B132=$I$139,C132*$M$139*'REAJUST FISCAL'!D132,IF(B132=$I$140,C132*$M$140*'REAJUST FISCAL'!D132,C132*'REAJUST FISCAL'!D132))</f>
        <v/>
      </c>
      <c r="F132" s="1090">
        <f>+D132+E132</f>
        <v/>
      </c>
      <c r="G132" s="400" t="inlineStr">
        <is>
          <t>Ley 20 de 1979 /Decreto 2326 de 1979</t>
        </is>
      </c>
    </row>
    <row r="133" ht="17" customHeight="1">
      <c r="B133" s="395" t="n">
        <v>1980</v>
      </c>
      <c r="C133" s="396" t="n">
        <v>0.2472</v>
      </c>
      <c r="D133" s="1088">
        <f>+IF('REAJUST FISCAL'!B133='REAJUST FISCAL'!$I$139,G.OCAS!$F$32,'REAJUST FISCAL'!F132)</f>
        <v/>
      </c>
      <c r="E133" s="1089">
        <f>+IF(B133=$I$139,C133*$M$139*'REAJUST FISCAL'!D133,IF(B133=$I$140,C133*$M$140*'REAJUST FISCAL'!D133,C133*'REAJUST FISCAL'!D133))</f>
        <v/>
      </c>
      <c r="F133" s="1090">
        <f>+D133+E133</f>
        <v/>
      </c>
      <c r="G133" s="400" t="inlineStr">
        <is>
          <t>Decreto 2534 de 1980</t>
        </is>
      </c>
    </row>
    <row r="134" ht="17" customHeight="1">
      <c r="B134" s="395" t="n">
        <v>1981</v>
      </c>
      <c r="C134" s="396" t="n">
        <v>0.2775</v>
      </c>
      <c r="D134" s="1088">
        <f>+IF('REAJUST FISCAL'!B134='REAJUST FISCAL'!$I$139,G.OCAS!$F$32,'REAJUST FISCAL'!F133)</f>
        <v/>
      </c>
      <c r="E134" s="1089">
        <f>+IF(B134=$I$139,C134*$M$139*'REAJUST FISCAL'!D134,IF(B134=$I$140,C134*$M$140*'REAJUST FISCAL'!D134,C134*'REAJUST FISCAL'!D134))</f>
        <v/>
      </c>
      <c r="F134" s="1090">
        <f>+D134+E134</f>
        <v/>
      </c>
      <c r="G134" s="400" t="inlineStr">
        <is>
          <t>Decreto 2655 de 1981</t>
        </is>
      </c>
    </row>
    <row r="135" ht="17" customHeight="1">
      <c r="B135" s="395" t="n">
        <v>1982</v>
      </c>
      <c r="C135" s="396" t="n">
        <v>0.2347</v>
      </c>
      <c r="D135" s="1088">
        <f>+IF('REAJUST FISCAL'!B135='REAJUST FISCAL'!$I$139,G.OCAS!$F$32,'REAJUST FISCAL'!F134)</f>
        <v/>
      </c>
      <c r="E135" s="1089">
        <f>+IF(B135=$I$139,C135*$M$139*'REAJUST FISCAL'!D135,IF(B135=$I$140,C135*$M$140*'REAJUST FISCAL'!D135,C135*'REAJUST FISCAL'!D135))</f>
        <v/>
      </c>
      <c r="F135" s="1090">
        <f>+D135+E135</f>
        <v/>
      </c>
      <c r="G135" s="400" t="inlineStr">
        <is>
          <t>Decreto  2809 de 1982</t>
        </is>
      </c>
    </row>
    <row r="136" ht="17" customHeight="1">
      <c r="B136" s="395" t="n">
        <v>1983</v>
      </c>
      <c r="C136" s="396" t="n">
        <v>0.1942</v>
      </c>
      <c r="D136" s="1088">
        <f>+IF('REAJUST FISCAL'!B136='REAJUST FISCAL'!$I$139,G.OCAS!$F$32,'REAJUST FISCAL'!F135)</f>
        <v/>
      </c>
      <c r="E136" s="1089">
        <f>+IF(B136=$I$139,C136*$M$139*'REAJUST FISCAL'!D136,IF(B136=$I$140,C136*$M$140*'REAJUST FISCAL'!D136,C136*'REAJUST FISCAL'!D136))</f>
        <v/>
      </c>
      <c r="F136" s="1090">
        <f>+D136+E136</f>
        <v/>
      </c>
      <c r="G136" s="400" t="inlineStr">
        <is>
          <t>Ley 9 de 1983/Decreto 2124 de 1983</t>
        </is>
      </c>
    </row>
    <row r="137" ht="17" customHeight="1">
      <c r="B137" s="395" t="n">
        <v>1984</v>
      </c>
      <c r="C137" s="396" t="n">
        <v>0.1517</v>
      </c>
      <c r="D137" s="1088">
        <f>+IF('REAJUST FISCAL'!B137='REAJUST FISCAL'!$I$139,G.OCAS!$F$32,'REAJUST FISCAL'!F136)</f>
        <v/>
      </c>
      <c r="E137" s="1089">
        <f>+IF(B137=$I$139,C137*$M$139*'REAJUST FISCAL'!D137,IF(B137=$I$140,C137*$M$140*'REAJUST FISCAL'!D137,C137*'REAJUST FISCAL'!D137))</f>
        <v/>
      </c>
      <c r="F137" s="1090">
        <f>+D137+E137</f>
        <v/>
      </c>
      <c r="G137" s="400" t="inlineStr">
        <is>
          <t>Decreto 1843 de 1984</t>
        </is>
      </c>
      <c r="I137" s="1092" t="n"/>
    </row>
    <row r="138" ht="17" customHeight="1">
      <c r="B138" s="395" t="n">
        <v>1985</v>
      </c>
      <c r="C138" s="396" t="n">
        <v>0.2451</v>
      </c>
      <c r="D138" s="1088">
        <f>+IF('REAJUST FISCAL'!B138='REAJUST FISCAL'!$I$139,G.OCAS!$F$32,'REAJUST FISCAL'!F137)</f>
        <v/>
      </c>
      <c r="E138" s="1089">
        <f>+IF(B138=$I$139,C138*$M$139*'REAJUST FISCAL'!D138,IF(B138=$I$140,C138*$M$140*'REAJUST FISCAL'!D138,C138*'REAJUST FISCAL'!D138))</f>
        <v/>
      </c>
      <c r="F138" s="1090">
        <f>+D138+E138</f>
        <v/>
      </c>
      <c r="G138" s="400" t="inlineStr">
        <is>
          <t>Decreto 2032 de 1985</t>
        </is>
      </c>
      <c r="I138" s="1092" t="n"/>
    </row>
    <row r="139" ht="19" customHeight="1">
      <c r="B139" s="395" t="n">
        <v>1986</v>
      </c>
      <c r="C139" s="396" t="n">
        <v>0.163</v>
      </c>
      <c r="D139" s="1088">
        <f>+IF('REAJUST FISCAL'!B139='REAJUST FISCAL'!$I$139,G.OCAS!$F$32,'REAJUST FISCAL'!F138)</f>
        <v/>
      </c>
      <c r="E139" s="1089">
        <f>+IF(B139=$I$139,C139*$M$139*'REAJUST FISCAL'!D139,IF(B139=$I$140,C139*$M$140*'REAJUST FISCAL'!D139,C139*'REAJUST FISCAL'!D139))</f>
        <v/>
      </c>
      <c r="F139" s="1090">
        <f>+D139+E139</f>
        <v/>
      </c>
      <c r="G139" s="400" t="inlineStr">
        <is>
          <t>Ley 75 de 1986/Decreto 2444 de 1986</t>
        </is>
      </c>
      <c r="I139" s="412">
        <f>+YEAR(G.OCAS!F33)</f>
        <v/>
      </c>
      <c r="J139" s="412">
        <f>+CONCATENATE("31/12/",+I139)</f>
        <v/>
      </c>
      <c r="K139" s="412" t="n">
        <v>360</v>
      </c>
      <c r="L139" s="1097">
        <f>+_xlfn.DAYS(J139,G.OCAS!F33)</f>
        <v/>
      </c>
      <c r="M139" s="414">
        <f>+L139/K139</f>
        <v/>
      </c>
      <c r="N139" s="415">
        <f>+M139*'REAJUST FISCAL'!C172</f>
        <v/>
      </c>
    </row>
    <row r="140" ht="18" customHeight="1">
      <c r="B140" s="395" t="n">
        <v>1987</v>
      </c>
      <c r="C140" s="396" t="n">
        <v>0.1679</v>
      </c>
      <c r="D140" s="1088">
        <f>+IF('REAJUST FISCAL'!B140='REAJUST FISCAL'!$I$139,G.OCAS!$F$32,'REAJUST FISCAL'!F139)</f>
        <v/>
      </c>
      <c r="E140" s="1089">
        <f>+IF(B140=$I$139,C140*$M$139*'REAJUST FISCAL'!D140,IF(B140=$I$140,C140*$M$140*'REAJUST FISCAL'!D140,C140*'REAJUST FISCAL'!D140))</f>
        <v/>
      </c>
      <c r="F140" s="1090">
        <f>+D140+E140</f>
        <v/>
      </c>
      <c r="G140" s="400" t="inlineStr">
        <is>
          <t>Decreto 59 de 1987</t>
        </is>
      </c>
      <c r="I140" s="412">
        <f>+YEAR(G.OCAS!F34)</f>
        <v/>
      </c>
      <c r="J140" s="416" t="n">
        <v>45292</v>
      </c>
      <c r="K140" s="412" t="n">
        <v>360</v>
      </c>
      <c r="L140" s="1097">
        <f>+_xlfn.DAYS(G.OCAS!F34,J140)</f>
        <v/>
      </c>
      <c r="M140" s="414">
        <f>+L140/K140</f>
        <v/>
      </c>
    </row>
    <row r="141" ht="17" customHeight="1">
      <c r="B141" s="395" t="n">
        <v>1988</v>
      </c>
      <c r="C141" s="396" t="n">
        <v>0.2365</v>
      </c>
      <c r="D141" s="1088">
        <f>+IF('REAJUST FISCAL'!B141='REAJUST FISCAL'!$I$139,G.OCAS!$F$32,'REAJUST FISCAL'!F140)</f>
        <v/>
      </c>
      <c r="E141" s="1089">
        <f>+IF(B141=$I$139,C141*$M$139*'REAJUST FISCAL'!D141,IF(B141=$I$140,C141*$M$140*'REAJUST FISCAL'!D141,C141*'REAJUST FISCAL'!D141))</f>
        <v/>
      </c>
      <c r="F141" s="1090">
        <f>+D141+E141</f>
        <v/>
      </c>
      <c r="G141" s="400" t="inlineStr">
        <is>
          <t>Decreto 2540 de 1987</t>
        </is>
      </c>
    </row>
    <row r="142" ht="17" customHeight="1">
      <c r="B142" s="395" t="n">
        <v>1989</v>
      </c>
      <c r="C142" s="396" t="n">
        <v>0.2799</v>
      </c>
      <c r="D142" s="1088">
        <f>+IF('REAJUST FISCAL'!B142='REAJUST FISCAL'!$I$139,G.OCAS!$F$32,'REAJUST FISCAL'!F141)</f>
        <v/>
      </c>
      <c r="E142" s="1089">
        <f>+IF(B142=$I$139,C142*$M$139*'REAJUST FISCAL'!D142,IF(B142=$I$140,C142*$M$140*'REAJUST FISCAL'!D142,C142*'REAJUST FISCAL'!D142))</f>
        <v/>
      </c>
      <c r="F142" s="1090">
        <f>+D142+E142</f>
        <v/>
      </c>
      <c r="G142" s="400" t="inlineStr">
        <is>
          <t>Decreto 2671 de 1988</t>
        </is>
      </c>
    </row>
    <row r="143" ht="17" customHeight="1">
      <c r="B143" s="395" t="n">
        <v>1990</v>
      </c>
      <c r="C143" s="396" t="n">
        <v>0.2664</v>
      </c>
      <c r="D143" s="1088">
        <f>+IF('REAJUST FISCAL'!B143='REAJUST FISCAL'!$I$139,G.OCAS!$F$32,'REAJUST FISCAL'!F142)</f>
        <v/>
      </c>
      <c r="E143" s="1089">
        <f>+IF(B143=$I$139,C143*$M$139*'REAJUST FISCAL'!D143,IF(B143=$I$140,C143*$M$140*'REAJUST FISCAL'!D143,C143*'REAJUST FISCAL'!D143))</f>
        <v/>
      </c>
      <c r="F143" s="1090">
        <f>+D143+E143</f>
        <v/>
      </c>
      <c r="G143" s="400" t="inlineStr">
        <is>
          <t>Decreto 624 de 1989 / Decreto 3018 de 1989</t>
        </is>
      </c>
    </row>
    <row r="144" ht="17" customHeight="1">
      <c r="B144" s="395" t="n">
        <v>1991</v>
      </c>
      <c r="C144" s="396" t="n">
        <v>0.3004</v>
      </c>
      <c r="D144" s="1088">
        <f>+IF('REAJUST FISCAL'!B144='REAJUST FISCAL'!$I$139,G.OCAS!$F$32,'REAJUST FISCAL'!F143)</f>
        <v/>
      </c>
      <c r="E144" s="1089">
        <f>+IF(B144=$I$139,C144*$M$139*'REAJUST FISCAL'!D144,IF(B144=$I$140,C144*$M$140*'REAJUST FISCAL'!D144,C144*'REAJUST FISCAL'!D144))</f>
        <v/>
      </c>
      <c r="F144" s="1090">
        <f>+D144+E144</f>
        <v/>
      </c>
      <c r="G144" s="400" t="inlineStr">
        <is>
          <t>Decreto 3100 de 1990</t>
        </is>
      </c>
    </row>
    <row r="145" ht="17" customHeight="1">
      <c r="B145" s="395" t="n">
        <v>1992</v>
      </c>
      <c r="C145" s="396" t="n">
        <v>0.2981</v>
      </c>
      <c r="D145" s="1088">
        <f>+IF('REAJUST FISCAL'!B145='REAJUST FISCAL'!$I$139,G.OCAS!$F$32,'REAJUST FISCAL'!F144)</f>
        <v/>
      </c>
      <c r="E145" s="1089">
        <f>+IF(B145=$I$139,C145*$M$139*'REAJUST FISCAL'!D145,IF(B145=$I$140,C145*$M$140*'REAJUST FISCAL'!D145,C145*'REAJUST FISCAL'!D145))</f>
        <v/>
      </c>
      <c r="F145" s="1090">
        <f>+D145+E145</f>
        <v/>
      </c>
      <c r="G145" s="400" t="inlineStr">
        <is>
          <t>Certificación DANE 102300</t>
        </is>
      </c>
    </row>
    <row r="146" ht="17" customHeight="1">
      <c r="B146" s="395" t="n">
        <v>1993</v>
      </c>
      <c r="C146" s="396" t="n">
        <v>0.262</v>
      </c>
      <c r="D146" s="1088">
        <f>+IF('REAJUST FISCAL'!B146='REAJUST FISCAL'!$I$139,G.OCAS!$F$32,'REAJUST FISCAL'!F145)</f>
        <v/>
      </c>
      <c r="E146" s="1089">
        <f>+IF(B146=$I$139,C146*$M$139*'REAJUST FISCAL'!D146,IF(B146=$I$140,C146*$M$140*'REAJUST FISCAL'!D146,C146*'REAJUST FISCAL'!D146))</f>
        <v/>
      </c>
      <c r="F146" s="1090">
        <f>+D146+E146</f>
        <v/>
      </c>
      <c r="G146" s="400" t="inlineStr">
        <is>
          <t>Certificación DANE 102294</t>
        </is>
      </c>
    </row>
    <row r="147" ht="17" customHeight="1">
      <c r="B147" s="395" t="n">
        <v>1994</v>
      </c>
      <c r="C147" s="396" t="n">
        <v>0.2208</v>
      </c>
      <c r="D147" s="1088">
        <f>+IF('REAJUST FISCAL'!B147='REAJUST FISCAL'!$I$139,G.OCAS!$F$32,'REAJUST FISCAL'!F146)</f>
        <v/>
      </c>
      <c r="E147" s="1089">
        <f>+IF(B147=$I$139,C147*$M$139*'REAJUST FISCAL'!D147,IF(B147=$I$140,C147*$M$140*'REAJUST FISCAL'!D147,C147*'REAJUST FISCAL'!D147))</f>
        <v/>
      </c>
      <c r="F147" s="1090">
        <f>+D147+E147</f>
        <v/>
      </c>
      <c r="G147" s="400" t="inlineStr">
        <is>
          <t>Certificación DANE 102295</t>
        </is>
      </c>
    </row>
    <row r="148" ht="17" customHeight="1">
      <c r="B148" s="395" t="n">
        <v>1995</v>
      </c>
      <c r="C148" s="396" t="n">
        <v>0.2231</v>
      </c>
      <c r="D148" s="1088">
        <f>+IF('REAJUST FISCAL'!B148='REAJUST FISCAL'!$I$139,G.OCAS!$F$32,'REAJUST FISCAL'!F147)</f>
        <v/>
      </c>
      <c r="E148" s="1089">
        <f>+IF(B148=$I$139,C148*$M$139*'REAJUST FISCAL'!D148,IF(B148=$I$140,C148*$M$140*'REAJUST FISCAL'!D148,C148*'REAJUST FISCAL'!D148))</f>
        <v/>
      </c>
      <c r="F148" s="1090">
        <f>+D148+E148</f>
        <v/>
      </c>
      <c r="G148" s="400" t="inlineStr">
        <is>
          <t>Decreto 00400 de 1996</t>
        </is>
      </c>
    </row>
    <row r="149" ht="17" customHeight="1">
      <c r="B149" s="395" t="n">
        <v>1996</v>
      </c>
      <c r="C149" s="396" t="n">
        <v>0.18</v>
      </c>
      <c r="D149" s="1088">
        <f>+IF('REAJUST FISCAL'!B149='REAJUST FISCAL'!$I$139,G.OCAS!$F$32,'REAJUST FISCAL'!F148)</f>
        <v/>
      </c>
      <c r="E149" s="1089">
        <f>+IF(B149=$I$139,C149*$M$139*'REAJUST FISCAL'!D149,IF(B149=$I$140,C149*$M$140*'REAJUST FISCAL'!D149,C149*'REAJUST FISCAL'!D149))</f>
        <v/>
      </c>
      <c r="F149" s="1090">
        <f>+D149+E149</f>
        <v/>
      </c>
      <c r="G149" s="400" t="inlineStr">
        <is>
          <t>Decreto 00476 de 1997</t>
        </is>
      </c>
    </row>
    <row r="150" ht="17" customHeight="1">
      <c r="B150" s="395" t="n">
        <v>1997</v>
      </c>
      <c r="C150" s="396" t="n">
        <v>0.16</v>
      </c>
      <c r="D150" s="1088">
        <f>+IF('REAJUST FISCAL'!B150='REAJUST FISCAL'!$I$139,G.OCAS!$F$32,'REAJUST FISCAL'!F149)</f>
        <v/>
      </c>
      <c r="E150" s="1089">
        <f>+IF(B150=$I$139,C150*$M$139*'REAJUST FISCAL'!D150,IF(B150=$I$140,C150*$M$140*'REAJUST FISCAL'!D150,C150*'REAJUST FISCAL'!D150))</f>
        <v/>
      </c>
      <c r="F150" s="1090">
        <f>+D150+E150</f>
        <v/>
      </c>
      <c r="G150" s="400" t="inlineStr">
        <is>
          <t>Decreto 00378 de 1998</t>
        </is>
      </c>
    </row>
    <row r="151" ht="17" customHeight="1">
      <c r="B151" s="395" t="n">
        <v>1998</v>
      </c>
      <c r="C151" s="396" t="n">
        <v>0.16</v>
      </c>
      <c r="D151" s="1088">
        <f>+IF('REAJUST FISCAL'!B151='REAJUST FISCAL'!$I$139,G.OCAS!$F$32,'REAJUST FISCAL'!F150)</f>
        <v/>
      </c>
      <c r="E151" s="1089">
        <f>+IF(B151=$I$139,C151*$M$139*'REAJUST FISCAL'!D151,IF(B151=$I$140,C151*$M$140*'REAJUST FISCAL'!D151,C151*'REAJUST FISCAL'!D151))</f>
        <v/>
      </c>
      <c r="F151" s="1090">
        <f>+D151+E151</f>
        <v/>
      </c>
      <c r="G151" s="400" t="inlineStr">
        <is>
          <t>Decreto 00495 de 1999</t>
        </is>
      </c>
    </row>
    <row r="152" ht="17" customHeight="1">
      <c r="B152" s="395" t="n">
        <v>1999</v>
      </c>
      <c r="C152" s="396" t="n">
        <v>0.1707</v>
      </c>
      <c r="D152" s="1088">
        <f>+IF('REAJUST FISCAL'!B152='REAJUST FISCAL'!$I$139,G.OCAS!$F$32,'REAJUST FISCAL'!F151)</f>
        <v/>
      </c>
      <c r="E152" s="1089">
        <f>+IF(B152=$I$139,C152*$M$139*'REAJUST FISCAL'!D152,IF(B152=$I$140,C152*$M$140*'REAJUST FISCAL'!D152,C152*'REAJUST FISCAL'!D152))</f>
        <v/>
      </c>
      <c r="F152" s="1090">
        <f>+D152+E152</f>
        <v/>
      </c>
      <c r="G152" s="400" t="inlineStr">
        <is>
          <t>Decreto 531 de 2000</t>
        </is>
      </c>
    </row>
    <row r="153" ht="17" customHeight="1">
      <c r="B153" s="395" t="n">
        <v>2000</v>
      </c>
      <c r="C153" s="396" t="n">
        <v>0.0936</v>
      </c>
      <c r="D153" s="1088">
        <f>+IF('REAJUST FISCAL'!B153='REAJUST FISCAL'!$I$139,G.OCAS!$F$32,'REAJUST FISCAL'!F152)</f>
        <v/>
      </c>
      <c r="E153" s="1089">
        <f>+IF(B153=$I$139,C153*$M$139*'REAJUST FISCAL'!D153,IF(B153=$I$140,C153*$M$140*'REAJUST FISCAL'!D153,C153*'REAJUST FISCAL'!D153))</f>
        <v/>
      </c>
      <c r="F153" s="1090">
        <f>+D153+E153</f>
        <v/>
      </c>
      <c r="G153" s="400" t="inlineStr">
        <is>
          <t>Decreto 0333 de 2001</t>
        </is>
      </c>
    </row>
    <row r="154" ht="17" customHeight="1">
      <c r="B154" s="395" t="n">
        <v>2001</v>
      </c>
      <c r="C154" s="396" t="n">
        <v>0.0896</v>
      </c>
      <c r="D154" s="1088">
        <f>+IF('REAJUST FISCAL'!B154='REAJUST FISCAL'!$I$139,G.OCAS!$F$32,'REAJUST FISCAL'!F153)</f>
        <v/>
      </c>
      <c r="E154" s="1089">
        <f>+IF(B154=$I$139,C154*$M$139*'REAJUST FISCAL'!D154,IF(B154=$I$140,C154*$M$140*'REAJUST FISCAL'!D154,C154*'REAJUST FISCAL'!D154))</f>
        <v/>
      </c>
      <c r="F154" s="1090">
        <f>+D154+E154</f>
        <v/>
      </c>
      <c r="G154" s="400" t="inlineStr">
        <is>
          <t>Decreto 00406 de 2002</t>
        </is>
      </c>
      <c r="I154" s="1092">
        <f>+D154*C154</f>
        <v/>
      </c>
    </row>
    <row r="155" ht="17" customHeight="1">
      <c r="B155" s="395" t="n">
        <v>2002</v>
      </c>
      <c r="C155" s="396" t="n">
        <v>0.06</v>
      </c>
      <c r="D155" s="1088">
        <f>+IF('REAJUST FISCAL'!B155='REAJUST FISCAL'!$I$139,G.OCAS!$F$32,'REAJUST FISCAL'!F154)</f>
        <v/>
      </c>
      <c r="E155" s="1089">
        <f>+IF(B155=$I$139,C155*$M$139*'REAJUST FISCAL'!D155,IF(B155=$I$140,C155*$M$140*'REAJUST FISCAL'!D155,C155*'REAJUST FISCAL'!D155))</f>
        <v/>
      </c>
      <c r="F155" s="1090">
        <f>+D155+E155</f>
        <v/>
      </c>
      <c r="G155" s="400" t="inlineStr">
        <is>
          <t>Decreto 3257 de 2002</t>
        </is>
      </c>
      <c r="I155" s="1092">
        <f>+D155*C155</f>
        <v/>
      </c>
    </row>
    <row r="156" ht="17" customHeight="1">
      <c r="B156" s="395" t="n">
        <v>2003</v>
      </c>
      <c r="C156" s="396" t="n">
        <v>0.06</v>
      </c>
      <c r="D156" s="1088">
        <f>+IF('REAJUST FISCAL'!B156='REAJUST FISCAL'!$I$139,G.OCAS!$F$32,'REAJUST FISCAL'!F155)</f>
        <v/>
      </c>
      <c r="E156" s="1089">
        <f>+IF(B156=$I$139,C156*$M$139*'REAJUST FISCAL'!D156,IF(B156=$I$140,C156*$M$140*'REAJUST FISCAL'!D156,C156*'REAJUST FISCAL'!D156))</f>
        <v/>
      </c>
      <c r="F156" s="1090">
        <f>+D156+E156</f>
        <v/>
      </c>
      <c r="G156" s="400" t="inlineStr">
        <is>
          <t>Decreto 03804 de 2003</t>
        </is>
      </c>
      <c r="I156" s="1092">
        <f>+D156*C156</f>
        <v/>
      </c>
    </row>
    <row r="157" ht="17" customHeight="1">
      <c r="B157" s="395" t="n">
        <v>2004</v>
      </c>
      <c r="C157" s="396" t="n">
        <v>0.06950000000000001</v>
      </c>
      <c r="D157" s="1088">
        <f>+IF('REAJUST FISCAL'!B157='REAJUST FISCAL'!$I$139,G.OCAS!$F$32,'REAJUST FISCAL'!F156)</f>
        <v/>
      </c>
      <c r="E157" s="1089">
        <f>+IF(B157=$I$139,C157*$M$139*'REAJUST FISCAL'!D157,IF(B157=$I$140,C157*$M$140*'REAJUST FISCAL'!D157,C157*'REAJUST FISCAL'!D157))</f>
        <v/>
      </c>
      <c r="F157" s="1090">
        <f>+D157+E157</f>
        <v/>
      </c>
      <c r="G157" s="400" t="inlineStr">
        <is>
          <t>Decreto 4344 de 2003</t>
        </is>
      </c>
      <c r="I157" s="1092">
        <f>+D157*C157</f>
        <v/>
      </c>
    </row>
    <row r="158" ht="17" customHeight="1">
      <c r="B158" s="395" t="n">
        <v>2005</v>
      </c>
      <c r="C158" s="396" t="n">
        <v>0.061</v>
      </c>
      <c r="D158" s="1088">
        <f>+IF('REAJUST FISCAL'!B158='REAJUST FISCAL'!$I$139,G.OCAS!$F$32,'REAJUST FISCAL'!F157)</f>
        <v/>
      </c>
      <c r="E158" s="1089">
        <f>+IF(B158=$I$139,C158*$M$139*'REAJUST FISCAL'!D158,IF(B158=$I$140,C158*$M$140*'REAJUST FISCAL'!D158,C158*'REAJUST FISCAL'!D158))</f>
        <v/>
      </c>
      <c r="F158" s="1090">
        <f>+D158+E158</f>
        <v/>
      </c>
      <c r="G158" s="400" t="inlineStr">
        <is>
          <t>Decreto 4715 de 2005</t>
        </is>
      </c>
      <c r="I158" s="1092">
        <f>+D158*C158</f>
        <v/>
      </c>
    </row>
    <row r="159" ht="17" customHeight="1">
      <c r="B159" s="395" t="n">
        <v>2006</v>
      </c>
      <c r="C159" s="396" t="n">
        <v>0.0487</v>
      </c>
      <c r="D159" s="1088">
        <f>+IF('REAJUST FISCAL'!B159='REAJUST FISCAL'!$I$139,G.OCAS!$F$32,'REAJUST FISCAL'!F158)</f>
        <v/>
      </c>
      <c r="E159" s="1089">
        <f>+IF(B159=$I$139,C159*$M$139*'REAJUST FISCAL'!D159,IF(B159=$I$140,C159*$M$140*'REAJUST FISCAL'!D159,C159*'REAJUST FISCAL'!D159))</f>
        <v/>
      </c>
      <c r="F159" s="1090">
        <f>+D159+E159</f>
        <v/>
      </c>
      <c r="G159" s="400" t="inlineStr">
        <is>
          <t>Res. 15652 de 2006</t>
        </is>
      </c>
      <c r="I159" s="1092">
        <f>+D159*C159</f>
        <v/>
      </c>
    </row>
    <row r="160" ht="17" customHeight="1">
      <c r="B160" s="395" t="n">
        <v>2007</v>
      </c>
      <c r="C160" s="396" t="n">
        <v>0.0515</v>
      </c>
      <c r="D160" s="1088">
        <f>+IF('REAJUST FISCAL'!B160='REAJUST FISCAL'!$I$139,G.OCAS!$F$32,'REAJUST FISCAL'!F159)</f>
        <v/>
      </c>
      <c r="E160" s="1089">
        <f>+IF(B160=$I$139,C160*$M$139*'REAJUST FISCAL'!D160,IF(B160=$I$140,C160*$M$140*'REAJUST FISCAL'!D160,C160*'REAJUST FISCAL'!D160))</f>
        <v/>
      </c>
      <c r="F160" s="1090">
        <f>+D160+E160</f>
        <v/>
      </c>
      <c r="G160" s="400" t="inlineStr">
        <is>
          <t xml:space="preserve"> Res.  15013 de 2007</t>
        </is>
      </c>
      <c r="I160" s="1092">
        <f>+D160*C160</f>
        <v/>
      </c>
    </row>
    <row r="161" ht="17" customHeight="1">
      <c r="B161" s="395" t="n">
        <v>2008</v>
      </c>
      <c r="C161" s="396" t="n">
        <v>0.0775</v>
      </c>
      <c r="D161" s="1088">
        <f>+IF('REAJUST FISCAL'!B161='REAJUST FISCAL'!$I$139,G.OCAS!$F$32,'REAJUST FISCAL'!F160)</f>
        <v/>
      </c>
      <c r="E161" s="1089">
        <f>+IF(B161=$I$139,C161*$M$139*'REAJUST FISCAL'!D161,IF(B161=$I$140,C161*$M$140*'REAJUST FISCAL'!D161,C161*'REAJUST FISCAL'!D161))</f>
        <v/>
      </c>
      <c r="F161" s="1090">
        <f>+D161+E161</f>
        <v/>
      </c>
      <c r="G161" s="400" t="inlineStr">
        <is>
          <t>Decreto 4715 de 2008</t>
        </is>
      </c>
    </row>
    <row r="162" ht="17" customHeight="1">
      <c r="B162" s="395" t="n">
        <v>2009</v>
      </c>
      <c r="C162" s="396" t="n">
        <v>0.0333</v>
      </c>
      <c r="D162" s="1088">
        <f>+IF('REAJUST FISCAL'!B162='REAJUST FISCAL'!$I$139,G.OCAS!$F$32,'REAJUST FISCAL'!F161)</f>
        <v/>
      </c>
      <c r="E162" s="1089">
        <f>+IF(B162=$I$139,C162*$M$139*'REAJUST FISCAL'!D162,IF(B162=$I$140,C162*$M$140*'REAJUST FISCAL'!D162,C162*'REAJUST FISCAL'!D162))</f>
        <v/>
      </c>
      <c r="F162" s="1090">
        <f>+D162+E162</f>
        <v/>
      </c>
      <c r="G162" s="400" t="inlineStr">
        <is>
          <t>Decreto  4930 de 2009</t>
        </is>
      </c>
      <c r="I162" s="1092">
        <f>+D162*C162</f>
        <v/>
      </c>
    </row>
    <row r="163" ht="17" customHeight="1">
      <c r="B163" s="395" t="n">
        <v>2010</v>
      </c>
      <c r="C163" s="396" t="n">
        <v>0.0235</v>
      </c>
      <c r="D163" s="1088">
        <f>+IF('REAJUST FISCAL'!B163='REAJUST FISCAL'!$I$139,G.OCAS!$F$32,'REAJUST FISCAL'!F162)</f>
        <v/>
      </c>
      <c r="E163" s="1089">
        <f>+IF(B163=$I$139,C163*$M$139*'REAJUST FISCAL'!D163,IF(B163=$I$140,C163*$M$140*'REAJUST FISCAL'!D163,C163*'REAJUST FISCAL'!D163))</f>
        <v/>
      </c>
      <c r="F163" s="1090">
        <f>+D163+E163</f>
        <v/>
      </c>
      <c r="G163" s="400" t="inlineStr">
        <is>
          <t>Decreto  4837 de 2010</t>
        </is>
      </c>
      <c r="I163" s="1092">
        <f>+D163*C163</f>
        <v/>
      </c>
    </row>
    <row r="164" ht="17" customHeight="1">
      <c r="B164" s="395" t="n">
        <v>2011</v>
      </c>
      <c r="C164" s="396" t="n">
        <v>0.0365</v>
      </c>
      <c r="D164" s="1088">
        <f>+IF('REAJUST FISCAL'!B164='REAJUST FISCAL'!$I$139,G.OCAS!$F$32,'REAJUST FISCAL'!F163)</f>
        <v/>
      </c>
      <c r="E164" s="1089">
        <f>+IF(B164=$I$139,C164*$M$139*'REAJUST FISCAL'!D164,IF(B164=$I$140,C164*$M$140*'REAJUST FISCAL'!D164,C164*'REAJUST FISCAL'!D164))</f>
        <v/>
      </c>
      <c r="F164" s="1090">
        <f>+'REAJUST FISCAL'!D164+E164</f>
        <v/>
      </c>
      <c r="G164" s="400" t="inlineStr">
        <is>
          <t>Decreto 4908 de 2011</t>
        </is>
      </c>
      <c r="I164" s="1092">
        <f>+'REAJUST FISCAL'!D164*C164</f>
        <v/>
      </c>
    </row>
    <row r="165" ht="17" customHeight="1">
      <c r="B165" s="395" t="n">
        <v>2012</v>
      </c>
      <c r="C165" s="396" t="n">
        <v>0.0304</v>
      </c>
      <c r="D165" s="1088">
        <f>+IF('REAJUST FISCAL'!B165='REAJUST FISCAL'!$I$139,G.OCAS!$F$32,'REAJUST FISCAL'!F164)</f>
        <v/>
      </c>
      <c r="E165" s="1089">
        <f>+IF(B165=$I$139,C165*$M$139*'REAJUST FISCAL'!D165,IF(B165=$I$140,C165*$M$140*'REAJUST FISCAL'!D165,C165*'REAJUST FISCAL'!D165))</f>
        <v/>
      </c>
      <c r="F165" s="1090">
        <f>+D165+E165</f>
        <v/>
      </c>
      <c r="G165" s="400" t="inlineStr">
        <is>
          <t>Decreto 2714 de 2012</t>
        </is>
      </c>
      <c r="I165" s="1092">
        <f>+D165*C165</f>
        <v/>
      </c>
    </row>
    <row r="166" ht="17" customHeight="1">
      <c r="B166" s="395" t="n">
        <v>2013</v>
      </c>
      <c r="C166" s="396" t="n">
        <v>0.024</v>
      </c>
      <c r="D166" s="1088">
        <f>+IF('REAJUST FISCAL'!B166='REAJUST FISCAL'!$I$139,G.OCAS!$F$32,'REAJUST FISCAL'!F165)</f>
        <v/>
      </c>
      <c r="E166" s="1089">
        <f>+IF(B166=$I$139,C166*$M$139*'REAJUST FISCAL'!D166,IF(B166=$I$140,C166*$M$140*'REAJUST FISCAL'!D166,C166*'REAJUST FISCAL'!D166))</f>
        <v/>
      </c>
      <c r="F166" s="1090">
        <f>+D166+E166</f>
        <v/>
      </c>
      <c r="G166" s="400" t="inlineStr">
        <is>
          <t>Decreto 2921 de 2013</t>
        </is>
      </c>
      <c r="I166" s="1092">
        <f>+D166*C166</f>
        <v/>
      </c>
    </row>
    <row r="167" ht="17" customHeight="1">
      <c r="B167" s="395" t="n">
        <v>2014</v>
      </c>
      <c r="C167" s="396" t="n">
        <v>0.0289</v>
      </c>
      <c r="D167" s="1088">
        <f>+IF('REAJUST FISCAL'!B167='REAJUST FISCAL'!$I$139,G.OCAS!$F$32,'REAJUST FISCAL'!F166)</f>
        <v/>
      </c>
      <c r="E167" s="1089">
        <f>+IF(B167=$I$139,C167*$M$139*'REAJUST FISCAL'!D167,IF(B167=$I$140,C167*$M$140*'REAJUST FISCAL'!D167,C167*'REAJUST FISCAL'!D167))</f>
        <v/>
      </c>
      <c r="F167" s="1090">
        <f>+D167+E167</f>
        <v/>
      </c>
      <c r="G167" s="400" t="inlineStr">
        <is>
          <t>Decreto 2624 de 2014</t>
        </is>
      </c>
      <c r="I167" s="1092">
        <f>+D167*C167</f>
        <v/>
      </c>
    </row>
    <row r="168" ht="17" customHeight="1">
      <c r="B168" s="395" t="n">
        <v>2015</v>
      </c>
      <c r="C168" s="396" t="n">
        <v>0.0521</v>
      </c>
      <c r="D168" s="1088">
        <f>+IF('REAJUST FISCAL'!B168='REAJUST FISCAL'!$I$139,G.OCAS!$F$32,'REAJUST FISCAL'!F167)</f>
        <v/>
      </c>
      <c r="E168" s="1089">
        <f>+IF(B168=$I$139,C168*$M$139*'REAJUST FISCAL'!D168,IF(B168=$I$140,C168*$M$140*'REAJUST FISCAL'!D168,C168*'REAJUST FISCAL'!D168))</f>
        <v/>
      </c>
      <c r="F168" s="1090">
        <f>+D168+E168</f>
        <v/>
      </c>
      <c r="G168" s="400" t="inlineStr">
        <is>
          <t>Decreto 2453 de 2015</t>
        </is>
      </c>
      <c r="I168" s="1092">
        <f>+D168*C168</f>
        <v/>
      </c>
    </row>
    <row r="169" ht="17" customHeight="1">
      <c r="B169" s="395" t="n">
        <v>2016</v>
      </c>
      <c r="C169" s="396" t="n">
        <v>0.0708</v>
      </c>
      <c r="D169" s="1088">
        <f>+IF('REAJUST FISCAL'!B169='REAJUST FISCAL'!$I$139,G.OCAS!$F$32,'REAJUST FISCAL'!F168)</f>
        <v/>
      </c>
      <c r="E169" s="1089">
        <f>+IF(B169=$I$139,C169*$M$139*'REAJUST FISCAL'!D169,IF(B169=$I$140,C169*$M$140*'REAJUST FISCAL'!D169,C169*'REAJUST FISCAL'!D169))</f>
        <v/>
      </c>
      <c r="F169" s="1090">
        <f>+D169+E169</f>
        <v/>
      </c>
      <c r="G169" s="400" t="inlineStr">
        <is>
          <t>Decreto 2202 de 2016</t>
        </is>
      </c>
      <c r="I169" s="1092">
        <f>+D169*C169</f>
        <v/>
      </c>
    </row>
    <row r="170" ht="17" customHeight="1">
      <c r="B170" s="395" t="n">
        <v>2017</v>
      </c>
      <c r="C170" s="396" t="n">
        <v>0.0407</v>
      </c>
      <c r="D170" s="1088">
        <f>+IF('REAJUST FISCAL'!B170='REAJUST FISCAL'!$I$139,G.OCAS!$F$32,'REAJUST FISCAL'!F169)</f>
        <v/>
      </c>
      <c r="E170" s="1089">
        <f>+IF(B170=$I$139,C170*$M$139*'REAJUST FISCAL'!D170,IF(B170=$I$140,C170*$M$140*'REAJUST FISCAL'!D170,C170*'REAJUST FISCAL'!D170))</f>
        <v/>
      </c>
      <c r="F170" s="1090">
        <f>+D170+E170</f>
        <v/>
      </c>
      <c r="G170" s="400" t="inlineStr">
        <is>
          <t>Decreto 2169 de 2017</t>
        </is>
      </c>
      <c r="I170" s="1092">
        <f>+D170*C170</f>
        <v/>
      </c>
    </row>
    <row r="171" ht="17" customHeight="1">
      <c r="B171" s="395" t="n">
        <v>2018</v>
      </c>
      <c r="C171" s="396" t="n">
        <v>0.0407</v>
      </c>
      <c r="D171" s="1088">
        <f>+IF('REAJUST FISCAL'!B171='REAJUST FISCAL'!$I$139,G.OCAS!$F$32,'REAJUST FISCAL'!F170)</f>
        <v/>
      </c>
      <c r="E171" s="1089">
        <f>+IF(B171=$I$139,C171*$M$139*'REAJUST FISCAL'!D171,IF(B171=$I$140,C171*$M$140*'REAJUST FISCAL'!D171,C171*'REAJUST FISCAL'!D171))</f>
        <v/>
      </c>
      <c r="F171" s="1090">
        <f>+D171+E171</f>
        <v/>
      </c>
      <c r="G171" s="400" t="inlineStr">
        <is>
          <t>Decreto  2391 de 2018</t>
        </is>
      </c>
      <c r="I171" s="1092">
        <f>+D171*C171</f>
        <v/>
      </c>
    </row>
    <row r="172" ht="17" customHeight="1">
      <c r="B172" s="395" t="n">
        <v>2019</v>
      </c>
      <c r="C172" s="401" t="n">
        <v>0.0336</v>
      </c>
      <c r="D172" s="1088">
        <f>+IF('REAJUST FISCAL'!B172='REAJUST FISCAL'!$I$139,G.OCAS!$F$32,'REAJUST FISCAL'!F171)</f>
        <v/>
      </c>
      <c r="E172" s="1089">
        <f>+IF(B172=$I$139,C172*$M$139*'REAJUST FISCAL'!D172,IF(B172=$I$140,C172*$M$140*'REAJUST FISCAL'!D172,C172*'REAJUST FISCAL'!D172))</f>
        <v/>
      </c>
      <c r="F172" s="1090">
        <f>+D172+E172</f>
        <v/>
      </c>
      <c r="G172" s="400" t="inlineStr">
        <is>
          <t>Decreto 2373 de 2019</t>
        </is>
      </c>
      <c r="I172" s="1092">
        <f>+D172*C172</f>
        <v/>
      </c>
    </row>
    <row r="173" ht="17" customHeight="1">
      <c r="B173" s="395" t="n">
        <v>2020</v>
      </c>
      <c r="C173" s="401" t="n">
        <v>0.039</v>
      </c>
      <c r="D173" s="1088">
        <f>+IF('REAJUST FISCAL'!B173='REAJUST FISCAL'!$I$139,G.OCAS!$F$32,'REAJUST FISCAL'!F172)</f>
        <v/>
      </c>
      <c r="E173" s="1089">
        <f>+IF(B173=$I$139,C173*$M$139*'REAJUST FISCAL'!D173,IF(B173=$I$140,C173*$M$140*'REAJUST FISCAL'!D173,C173*'REAJUST FISCAL'!D173))</f>
        <v/>
      </c>
      <c r="F173" s="1090">
        <f>+'REAJUST FISCAL'!D173+E173</f>
        <v/>
      </c>
      <c r="G173" s="400" t="inlineStr">
        <is>
          <t>Decreto 1763 de 2020</t>
        </is>
      </c>
      <c r="I173" s="1092">
        <f>+'REAJUST FISCAL'!D173*C173</f>
        <v/>
      </c>
    </row>
    <row r="174" ht="17" customHeight="1">
      <c r="B174" s="395" t="n">
        <v>2021</v>
      </c>
      <c r="C174" s="401" t="n">
        <v>0.0197</v>
      </c>
      <c r="D174" s="1088">
        <f>+IF('REAJUST FISCAL'!B174='REAJUST FISCAL'!$I$139,G.OCAS!$F$32,'REAJUST FISCAL'!F173)</f>
        <v/>
      </c>
      <c r="E174" s="1089">
        <f>+IF(B174=$I$139,C174*$M$139*'REAJUST FISCAL'!D174,IF(B174=$I$140,C174*$M$140*'REAJUST FISCAL'!D174,C174*'REAJUST FISCAL'!D174))</f>
        <v/>
      </c>
      <c r="F174" s="1090">
        <f>+D174+E174</f>
        <v/>
      </c>
      <c r="G174" s="400" t="inlineStr">
        <is>
          <t>Decreto 1846 de 2021</t>
        </is>
      </c>
      <c r="I174" s="1092">
        <f>+D174*C174</f>
        <v/>
      </c>
    </row>
    <row r="175" ht="17" customHeight="1">
      <c r="B175" s="395" t="n">
        <v>2022</v>
      </c>
      <c r="C175" s="401" t="n">
        <v>0.0467</v>
      </c>
      <c r="D175" s="1088">
        <f>+IF('REAJUST FISCAL'!B175='REAJUST FISCAL'!$I$139,G.OCAS!$F$32,'REAJUST FISCAL'!F174)</f>
        <v/>
      </c>
      <c r="E175" s="1089">
        <f>+IF(B175=$I$139,C175*$M$139*'REAJUST FISCAL'!D175,IF(B175=$I$140,C175*$M$140*'REAJUST FISCAL'!D175,C175*'REAJUST FISCAL'!D175))</f>
        <v/>
      </c>
      <c r="F175" s="1090">
        <f>+D175+E175</f>
        <v/>
      </c>
      <c r="G175" s="402" t="inlineStr">
        <is>
          <t>Decreto 2609 de 2022</t>
        </is>
      </c>
      <c r="I175" s="1092">
        <f>+D175*C175</f>
        <v/>
      </c>
    </row>
    <row r="176" ht="17" customHeight="1">
      <c r="B176" s="403" t="n">
        <v>2023</v>
      </c>
      <c r="C176" s="401" t="n">
        <v>0.124</v>
      </c>
      <c r="D176" s="1088">
        <f>+IF('REAJUST FISCAL'!B176='REAJUST FISCAL'!$I$139,G.OCAS!$F$32,'REAJUST FISCAL'!F175)</f>
        <v/>
      </c>
      <c r="E176" s="1089">
        <f>+IF(B176=$I$139,C176*$M$139*'REAJUST FISCAL'!D176,IF(B176=$I$140,C176*$M$140*'REAJUST FISCAL'!D176,C176*'REAJUST FISCAL'!D176))</f>
        <v/>
      </c>
      <c r="F176" s="1090">
        <f>+D176+E176</f>
        <v/>
      </c>
      <c r="G176" s="402" t="inlineStr">
        <is>
          <t>Decreto 128 de 2024</t>
        </is>
      </c>
      <c r="I176" s="1092">
        <f>+D176*C176</f>
        <v/>
      </c>
    </row>
    <row r="177" ht="17" customHeight="1">
      <c r="B177" s="403" t="n">
        <v>2024</v>
      </c>
      <c r="C177" s="401" t="n">
        <v>0.1097</v>
      </c>
      <c r="D177" s="1088">
        <f>+IF('REAJUST FISCAL'!B177='REAJUST FISCAL'!$I$139,G.OCAS!$F$32,'REAJUST FISCAL'!F176)</f>
        <v/>
      </c>
      <c r="E177" s="1089">
        <f>+IF(B177=$I$139,C177*$M$139*'REAJUST FISCAL'!D177,IF(B177=$I$140,C177*$M$140*'REAJUST FISCAL'!D177,C177*'REAJUST FISCAL'!D177))</f>
        <v/>
      </c>
      <c r="F177" s="1090">
        <f>+D177+E177</f>
        <v/>
      </c>
      <c r="G177" s="402" t="inlineStr">
        <is>
          <t>Decreto 174 de 2025</t>
        </is>
      </c>
      <c r="I177" s="1092">
        <f>+D177*C177</f>
        <v/>
      </c>
    </row>
    <row r="178" ht="17" customHeight="1">
      <c r="B178" s="403" t="n">
        <v>2024</v>
      </c>
      <c r="C178" s="401" t="n">
        <v>0.0581</v>
      </c>
      <c r="D178" s="1088">
        <f>+IF('REAJUST FISCAL'!B178='REAJUST FISCAL'!$I$139,G.OCAS!$F$32,'REAJUST FISCAL'!F177)</f>
        <v/>
      </c>
      <c r="E178" s="1089">
        <f>+IF(B178=$I$139,C178*$M$139*'REAJUST FISCAL'!D178,IF(B178=$I$140,C178*$M$140*'REAJUST FISCAL'!D178,C178*'REAJUST FISCAL'!D178))</f>
        <v/>
      </c>
      <c r="F178" s="1090">
        <f>+D178+E178</f>
        <v/>
      </c>
      <c r="G178" s="402" t="inlineStr">
        <is>
          <t>Decreto 0049 de 2026</t>
        </is>
      </c>
      <c r="I178" s="1092" t="n"/>
    </row>
    <row r="179">
      <c r="B179" s="1093" t="inlineStr">
        <is>
          <t>TOTAL REAJUSTE</t>
        </is>
      </c>
      <c r="C179" s="1094" t="n"/>
      <c r="D179" s="1094" t="n"/>
      <c r="E179" s="1095" t="n"/>
      <c r="F179" s="1096">
        <f>F178</f>
        <v/>
      </c>
      <c r="G179" s="403" t="n"/>
    </row>
  </sheetData>
  <mergeCells count="3">
    <mergeCell ref="B179:E179"/>
    <mergeCell ref="B57:E57"/>
    <mergeCell ref="B117:E117"/>
  </mergeCells>
  <dataValidations count="2">
    <dataValidation sqref="G21 G81 G143" showDropDown="0" showInputMessage="1" showErrorMessage="1" allowBlank="1" prompt="Este decreto crea el estatuto tributario actual.  Art. 70 ET habla de reajuste fiscal_x000a_"/>
    <dataValidation sqref="D5:D56 D65:D116 D127:D178" showDropDown="0" showInputMessage="1" showErrorMessage="1" allowBlank="1" prompt="Digite el valor de la compra a costo histórico en el año de adquisición."/>
  </dataValidations>
  <pageMargins left="0.7" right="0.7" top="0.75" bottom="0.75" header="0.3" footer="0.3"/>
</worksheet>
</file>

<file path=xl/worksheets/sheet19.xml><?xml version="1.0" encoding="utf-8"?>
<worksheet xmlns="http://schemas.openxmlformats.org/spreadsheetml/2006/main">
  <sheetPr codeName="Hoja11">
    <tabColor rgb="FF0070C0"/>
    <outlinePr summaryBelow="1" summaryRight="1"/>
    <pageSetUpPr/>
  </sheetPr>
  <dimension ref="B1:F31"/>
  <sheetViews>
    <sheetView showGridLines="0" zoomScale="190" zoomScaleNormal="190" zoomScaleSheetLayoutView="133" workbookViewId="0">
      <pane ySplit="1" topLeftCell="A19" activePane="bottomLeft" state="frozen"/>
      <selection pane="bottomLeft" activeCell="E19" sqref="E19"/>
    </sheetView>
  </sheetViews>
  <sheetFormatPr baseColWidth="10" defaultColWidth="0" defaultRowHeight="16" zeroHeight="1"/>
  <cols>
    <col width="6.1640625" customWidth="1" style="72" min="1" max="1"/>
    <col width="2.5" customWidth="1" style="131" min="2" max="2"/>
    <col width="60.5" bestFit="1" customWidth="1" style="72" min="3" max="3"/>
    <col width="18.5" customWidth="1" style="72" min="4" max="4"/>
    <col width="14" bestFit="1" customWidth="1" style="72" min="5" max="5"/>
    <col width="14" bestFit="1" customWidth="1" style="75" min="6" max="6"/>
    <col width="10" customWidth="1" style="72" min="7" max="7"/>
    <col width="14" bestFit="1" customWidth="1" style="72" min="8" max="8"/>
    <col hidden="1" width="44.83203125" customWidth="1" style="72" min="9" max="9"/>
    <col hidden="1" width="12.5" customWidth="1" style="72" min="10" max="10"/>
    <col hidden="1" width="11.5" customWidth="1" style="72" min="11" max="16384"/>
  </cols>
  <sheetData>
    <row r="1">
      <c r="B1" s="863" t="inlineStr">
        <is>
          <t>RENTAS DE PENSIONES</t>
        </is>
      </c>
      <c r="C1" s="971" t="n"/>
      <c r="D1" s="971" t="n"/>
      <c r="E1" s="971" t="n"/>
      <c r="F1" s="967" t="n"/>
    </row>
    <row r="2">
      <c r="B2" s="701" t="inlineStr">
        <is>
          <t>Renglón 99</t>
        </is>
      </c>
      <c r="C2" s="198" t="inlineStr">
        <is>
          <t>De fuente nacional y de fuente extranjera</t>
        </is>
      </c>
      <c r="D2" s="971" t="n"/>
      <c r="E2" s="967" t="n"/>
      <c r="F2" s="791">
        <f>ROUND(SUM(E9+E16),-3)</f>
        <v/>
      </c>
    </row>
    <row r="3">
      <c r="B3" s="237" t="n"/>
      <c r="C3" s="785" t="inlineStr">
        <is>
          <t>Porvenir</t>
        </is>
      </c>
      <c r="D3" s="997" t="n"/>
      <c r="E3" s="200" t="n"/>
      <c r="F3" s="237" t="n"/>
    </row>
    <row r="4">
      <c r="B4" s="237" t="n"/>
      <c r="C4" s="785" t="inlineStr">
        <is>
          <t>Colpensiones</t>
        </is>
      </c>
      <c r="D4" s="997" t="n"/>
      <c r="E4" s="200" t="n"/>
      <c r="F4" s="237" t="n"/>
    </row>
    <row r="5">
      <c r="B5" s="237" t="n"/>
      <c r="C5" s="785" t="inlineStr">
        <is>
          <t>Estados Unidos</t>
        </is>
      </c>
      <c r="D5" s="997" t="n"/>
      <c r="E5" s="200" t="n"/>
      <c r="F5" s="237" t="n"/>
    </row>
    <row r="6">
      <c r="B6" s="237" t="n"/>
      <c r="C6" s="785" t="inlineStr">
        <is>
          <t>Indemnizacion sustitutiva o devolucion de saldos</t>
        </is>
      </c>
      <c r="D6" s="997" t="n"/>
      <c r="E6" s="200" t="n"/>
      <c r="F6" s="237" t="n"/>
    </row>
    <row r="7">
      <c r="B7" s="237" t="n"/>
      <c r="C7" s="785" t="n"/>
      <c r="D7" s="997" t="n"/>
      <c r="E7" s="200" t="n"/>
      <c r="F7" s="237" t="n"/>
    </row>
    <row r="8">
      <c r="B8" s="237" t="n"/>
      <c r="C8" s="785" t="n"/>
      <c r="D8" s="997" t="n"/>
      <c r="E8" s="200" t="n"/>
      <c r="F8" s="237" t="n"/>
    </row>
    <row r="9">
      <c r="B9" s="237" t="n"/>
      <c r="C9" s="1098" t="inlineStr">
        <is>
          <t>Total ingresos por pensiones - fuente nacional</t>
        </is>
      </c>
      <c r="D9" s="967" t="n"/>
      <c r="E9" s="68">
        <f>SUM(E3:E8)</f>
        <v/>
      </c>
      <c r="F9" s="237" t="n"/>
    </row>
    <row r="10" hidden="1">
      <c r="B10" s="237" t="n"/>
      <c r="C10" s="1099" t="inlineStr">
        <is>
          <t>De fuente extranjera</t>
        </is>
      </c>
      <c r="D10" s="996" t="n"/>
      <c r="E10" s="997" t="n"/>
      <c r="F10" s="237" t="n"/>
    </row>
    <row r="11" hidden="1">
      <c r="B11" s="237" t="n"/>
      <c r="C11" s="785" t="n"/>
      <c r="D11" s="997" t="n"/>
      <c r="E11" s="200" t="n"/>
      <c r="F11" s="237" t="n"/>
    </row>
    <row r="12" hidden="1">
      <c r="B12" s="237" t="n"/>
      <c r="C12" s="785" t="n"/>
      <c r="D12" s="997" t="n"/>
      <c r="E12" s="200" t="n"/>
      <c r="F12" s="237" t="n"/>
    </row>
    <row r="13" hidden="1">
      <c r="B13" s="237" t="n"/>
      <c r="C13" s="785" t="n"/>
      <c r="D13" s="997" t="n"/>
      <c r="E13" s="199" t="n"/>
      <c r="F13" s="237" t="n"/>
    </row>
    <row r="14" hidden="1">
      <c r="B14" s="237" t="n"/>
      <c r="C14" s="785" t="n"/>
      <c r="D14" s="997" t="n"/>
      <c r="E14" s="200" t="n"/>
      <c r="F14" s="237" t="n"/>
    </row>
    <row r="15" hidden="1">
      <c r="B15" s="237" t="n"/>
      <c r="C15" s="785" t="n"/>
      <c r="D15" s="997" t="n"/>
      <c r="E15" s="200" t="n"/>
      <c r="F15" s="237" t="n"/>
    </row>
    <row r="16" hidden="1">
      <c r="B16" s="970" t="n"/>
      <c r="C16" s="1098" t="inlineStr">
        <is>
          <t>Total ingresos por pensiones - fuente extranjera</t>
        </is>
      </c>
      <c r="D16" s="967" t="n"/>
      <c r="E16" s="68">
        <f>SUM(E11:E15)</f>
        <v/>
      </c>
      <c r="F16" s="970" t="n"/>
    </row>
    <row r="17">
      <c r="B17" s="701" t="inlineStr">
        <is>
          <t>Renglón 100</t>
        </is>
      </c>
      <c r="C17" s="774" t="inlineStr">
        <is>
          <t>I.N.C.R.N.G.O.</t>
        </is>
      </c>
      <c r="D17" s="971" t="n"/>
      <c r="E17" s="971" t="n"/>
      <c r="F17" s="967" t="n"/>
    </row>
    <row r="18">
      <c r="B18" s="237" t="n"/>
      <c r="C18" s="785" t="n"/>
      <c r="D18" s="997" t="n"/>
      <c r="E18" s="227" t="n"/>
      <c r="F18" s="781">
        <f>ROUND(SUM(E18:E24),-3)</f>
        <v/>
      </c>
    </row>
    <row r="19">
      <c r="B19" s="237" t="n"/>
      <c r="C19" s="785" t="inlineStr">
        <is>
          <t>aporte a salud</t>
        </is>
      </c>
      <c r="D19" s="997" t="n"/>
      <c r="E19" s="227" t="n"/>
      <c r="F19" s="237" t="n"/>
    </row>
    <row r="20">
      <c r="B20" s="237" t="n"/>
      <c r="C20" s="785" t="n"/>
      <c r="D20" s="997" t="n"/>
      <c r="E20" s="227" t="n"/>
      <c r="F20" s="237" t="n"/>
    </row>
    <row r="21">
      <c r="B21" s="237" t="n"/>
      <c r="C21" s="785" t="n"/>
      <c r="D21" s="997" t="n"/>
      <c r="E21" s="227" t="n"/>
      <c r="F21" s="237" t="n"/>
    </row>
    <row r="22">
      <c r="B22" s="237" t="n"/>
      <c r="C22" s="785" t="n"/>
      <c r="D22" s="997" t="n"/>
      <c r="E22" s="227" t="n"/>
      <c r="F22" s="237" t="n"/>
    </row>
    <row r="23">
      <c r="B23" s="237" t="n"/>
      <c r="C23" s="785" t="n"/>
      <c r="D23" s="997" t="n"/>
      <c r="E23" s="227" t="n"/>
      <c r="F23" s="237" t="n"/>
    </row>
    <row r="24">
      <c r="B24" s="970" t="n"/>
      <c r="C24" s="785" t="n"/>
      <c r="D24" s="997" t="n"/>
      <c r="E24" s="227" t="n"/>
      <c r="F24" s="970" t="n"/>
    </row>
    <row r="25">
      <c r="B25" s="701" t="inlineStr">
        <is>
          <t>Renglón 102</t>
        </is>
      </c>
      <c r="C25" s="774" t="inlineStr">
        <is>
          <t>Rentas exentas</t>
        </is>
      </c>
      <c r="D25" s="971" t="n"/>
      <c r="E25" s="971" t="n"/>
      <c r="F25" s="967" t="n"/>
    </row>
    <row r="26" ht="15" customHeight="1">
      <c r="B26" s="237" t="n"/>
      <c r="C26" s="785" t="inlineStr">
        <is>
          <t>Renta exenta pensinoes de Colombia de fuente Nacional</t>
        </is>
      </c>
      <c r="D26" s="997" t="n"/>
      <c r="E26" s="200" t="n">
        <v>0</v>
      </c>
      <c r="F26" s="1053" t="n">
        <v>0</v>
      </c>
    </row>
    <row r="27" ht="15" customHeight="1">
      <c r="B27" s="237" t="n"/>
      <c r="C27" s="719" t="n"/>
      <c r="D27" s="721" t="n"/>
      <c r="E27" s="200" t="n"/>
      <c r="F27" s="237" t="n"/>
    </row>
    <row r="28" ht="15" customHeight="1">
      <c r="B28" s="237" t="n"/>
      <c r="C28" s="719" t="n"/>
      <c r="D28" s="721" t="n"/>
      <c r="E28" s="200" t="n"/>
      <c r="F28" s="237" t="n"/>
    </row>
    <row r="29" ht="15" customHeight="1">
      <c r="B29" s="237" t="n"/>
      <c r="C29" s="785" t="n"/>
      <c r="D29" s="997" t="n"/>
      <c r="E29" s="200" t="n"/>
      <c r="F29" s="237" t="n"/>
    </row>
    <row r="30" ht="15" customHeight="1">
      <c r="B30" s="237" t="n"/>
      <c r="C30" s="785" t="n"/>
      <c r="D30" s="997" t="n"/>
      <c r="E30" s="200" t="n"/>
      <c r="F30" s="237" t="n"/>
    </row>
    <row r="31" ht="15" customHeight="1">
      <c r="B31" s="970" t="n"/>
      <c r="C31" s="785" t="n"/>
      <c r="D31" s="997" t="n"/>
      <c r="E31" s="200" t="n"/>
      <c r="F31" s="970" t="n"/>
    </row>
  </sheetData>
  <mergeCells count="35">
    <mergeCell ref="C17:F17"/>
    <mergeCell ref="C30:D30"/>
    <mergeCell ref="C6:D6"/>
    <mergeCell ref="C24:D24"/>
    <mergeCell ref="C15:D15"/>
    <mergeCell ref="C5:D5"/>
    <mergeCell ref="C14:D14"/>
    <mergeCell ref="C26:D26"/>
    <mergeCell ref="C4:D4"/>
    <mergeCell ref="C2:E2"/>
    <mergeCell ref="C20:D20"/>
    <mergeCell ref="C29:D29"/>
    <mergeCell ref="C16:D16"/>
    <mergeCell ref="B2:B16"/>
    <mergeCell ref="F2:F16"/>
    <mergeCell ref="C22:D22"/>
    <mergeCell ref="B1:F1"/>
    <mergeCell ref="C9:D9"/>
    <mergeCell ref="C31:D31"/>
    <mergeCell ref="C12:D12"/>
    <mergeCell ref="B17:B24"/>
    <mergeCell ref="F26:F31"/>
    <mergeCell ref="C21:D21"/>
    <mergeCell ref="C11:D11"/>
    <mergeCell ref="B25:B31"/>
    <mergeCell ref="C25:F25"/>
    <mergeCell ref="C23:D23"/>
    <mergeCell ref="C8:D8"/>
    <mergeCell ref="C7:D7"/>
    <mergeCell ref="C19:D19"/>
    <mergeCell ref="C13:D13"/>
    <mergeCell ref="C18:D18"/>
    <mergeCell ref="C3:D3"/>
    <mergeCell ref="F18:F24"/>
    <mergeCell ref="C10:E10"/>
  </mergeCells>
  <hyperlinks>
    <hyperlink ref="B2" location="'FORMULARIO 210'!J35" display="Renglón 99"/>
    <hyperlink ref="B17" location="'FORMULARIO 210'!J36" display="Renglón 100"/>
    <hyperlink ref="B25" location="'FORMULARIO 210'!J38" display="Renglón 102"/>
  </hyperlinks>
  <pageMargins left="0.7" right="0.7" top="0.75" bottom="0.75" header="0.3" footer="0.3"/>
  <pageSetup orientation="portrait" scale="55"/>
</worksheet>
</file>

<file path=xl/worksheets/sheet20.xml><?xml version="1.0" encoding="utf-8"?>
<worksheet xmlns="http://schemas.openxmlformats.org/spreadsheetml/2006/main">
  <sheetPr codeName="Hoja10">
    <tabColor rgb="FF0070C0"/>
    <outlinePr summaryBelow="1" summaryRight="1"/>
    <pageSetUpPr/>
  </sheetPr>
  <dimension ref="B1:J17"/>
  <sheetViews>
    <sheetView showGridLines="0" defaultGridColor="0" colorId="57" zoomScale="240" zoomScaleNormal="240" zoomScaleSheetLayoutView="190" workbookViewId="0">
      <pane ySplit="1" topLeftCell="A2" activePane="bottomLeft" state="frozen"/>
      <selection pane="bottomLeft" activeCell="E6" sqref="E6"/>
    </sheetView>
  </sheetViews>
  <sheetFormatPr baseColWidth="10" defaultColWidth="0" defaultRowHeight="13" zeroHeight="1"/>
  <cols>
    <col width="4.1640625" customWidth="1" style="168" min="1" max="1"/>
    <col width="26.5" customWidth="1" style="168" min="2" max="2"/>
    <col width="20.5" customWidth="1" style="171" min="3" max="3"/>
    <col width="12.5" customWidth="1" style="170" min="4" max="4"/>
    <col width="11" customWidth="1" style="172" min="5" max="5"/>
    <col width="11" customWidth="1" style="168" min="6" max="10"/>
    <col hidden="1" width="11" customWidth="1" style="168" min="11" max="13"/>
    <col hidden="1" width="11" customWidth="1" style="168" min="14" max="16384"/>
  </cols>
  <sheetData>
    <row r="1" ht="14" customHeight="1" thickBot="1">
      <c r="B1" s="167" t="n"/>
      <c r="C1" s="167" t="n"/>
      <c r="D1" s="167" t="n"/>
      <c r="E1" s="167" t="n"/>
      <c r="F1" s="167" t="n"/>
      <c r="G1" s="167" t="n"/>
      <c r="H1" s="167" t="n"/>
      <c r="I1" s="167" t="n"/>
      <c r="J1" s="167" t="n"/>
    </row>
    <row r="2">
      <c r="B2" s="867" t="inlineStr">
        <is>
          <t>RENTA PRESUNTIVA</t>
        </is>
      </c>
      <c r="C2" s="1100" t="n"/>
      <c r="D2" s="1100" t="n"/>
      <c r="E2" s="1101" t="n"/>
      <c r="F2" s="167" t="n"/>
      <c r="G2" s="167" t="n"/>
      <c r="H2" s="167" t="n"/>
      <c r="I2" s="167" t="n"/>
      <c r="J2" s="167" t="n"/>
    </row>
    <row r="3">
      <c r="B3" s="1102" t="n"/>
      <c r="C3" s="964" t="n"/>
      <c r="D3" s="964" t="n"/>
      <c r="E3" s="965" t="n"/>
      <c r="F3" s="167" t="n"/>
      <c r="G3" s="167" t="n"/>
      <c r="H3" s="167" t="n"/>
      <c r="I3" s="167" t="n"/>
      <c r="J3" s="167" t="n"/>
    </row>
    <row r="4">
      <c r="B4" s="879" t="inlineStr">
        <is>
          <t>Total patrimonio bruto 2024</t>
        </is>
      </c>
      <c r="C4" s="964" t="n"/>
      <c r="D4" s="965" t="n"/>
      <c r="E4" s="318" t="n">
        <v>0</v>
      </c>
      <c r="F4" s="167" t="n"/>
      <c r="G4" s="167" t="n"/>
      <c r="H4" s="167" t="n"/>
      <c r="I4" s="167" t="n"/>
      <c r="J4" s="167" t="n"/>
    </row>
    <row r="5">
      <c r="B5" s="884" t="inlineStr">
        <is>
          <t>Deudas</t>
        </is>
      </c>
      <c r="C5" s="971" t="n"/>
      <c r="D5" s="967" t="n"/>
      <c r="E5" s="251" t="n">
        <v>0</v>
      </c>
      <c r="F5" s="167" t="n"/>
      <c r="G5" s="167" t="n"/>
      <c r="H5" s="167" t="n"/>
      <c r="I5" s="167" t="n"/>
      <c r="J5" s="167" t="n"/>
    </row>
    <row r="6">
      <c r="B6" s="1103" t="inlineStr">
        <is>
          <t>Patrimonio líquido 2024</t>
        </is>
      </c>
      <c r="C6" s="971" t="n"/>
      <c r="D6" s="967" t="n"/>
      <c r="E6" s="256">
        <f>(E4-E5)</f>
        <v/>
      </c>
      <c r="F6" s="167" t="n"/>
      <c r="G6" s="167" t="n"/>
      <c r="H6" s="167" t="n"/>
      <c r="I6" s="167" t="n"/>
      <c r="J6" s="167" t="n"/>
    </row>
    <row r="7" hidden="1">
      <c r="B7" s="1104" t="inlineStr">
        <is>
          <t>Menos: patrimonio excluido</t>
        </is>
      </c>
      <c r="C7" s="971" t="n"/>
      <c r="D7" s="971" t="n"/>
      <c r="E7" s="1105" t="n"/>
      <c r="F7" s="167" t="n"/>
      <c r="G7" s="167" t="n"/>
      <c r="H7" s="167" t="n"/>
      <c r="I7" s="167" t="n"/>
      <c r="J7" s="167" t="n"/>
    </row>
    <row r="8" hidden="1">
      <c r="B8" s="1106" t="inlineStr">
        <is>
          <t xml:space="preserve">% Valor Patrimonial </t>
        </is>
      </c>
      <c r="C8" s="971" t="n"/>
      <c r="D8" s="967" t="n"/>
      <c r="E8" s="254">
        <f>IFERROR(E6/E4,0)</f>
        <v/>
      </c>
      <c r="F8" s="167" t="n"/>
      <c r="G8" s="167" t="n"/>
      <c r="H8" s="167" t="n"/>
      <c r="I8" s="167" t="n"/>
      <c r="J8" s="167" t="n"/>
    </row>
    <row r="9" hidden="1">
      <c r="B9" s="1106" t="inlineStr">
        <is>
          <t>V/r. de las acciones en sociedades nacionales</t>
        </is>
      </c>
      <c r="C9" s="967" t="n"/>
      <c r="D9" s="252" t="n">
        <v>0</v>
      </c>
      <c r="E9" s="255">
        <f>D9*$E$8</f>
        <v/>
      </c>
      <c r="F9" s="167" t="n"/>
      <c r="G9" s="167" t="n"/>
      <c r="H9" s="167" t="n"/>
      <c r="I9" s="167" t="n"/>
      <c r="J9" s="167" t="n"/>
    </row>
    <row r="10" hidden="1" ht="23.25" customHeight="1">
      <c r="B10" s="1106" t="inlineStr">
        <is>
          <t>V/r. del total de los activos destinados a empresas en periodo improductivo</t>
        </is>
      </c>
      <c r="C10" s="967" t="n"/>
      <c r="D10" s="252" t="n">
        <v>0</v>
      </c>
      <c r="E10" s="255">
        <f>D10*$E$8</f>
        <v/>
      </c>
      <c r="F10" s="167" t="n"/>
      <c r="G10" s="167" t="n"/>
      <c r="H10" s="167" t="n"/>
      <c r="I10" s="167" t="n"/>
      <c r="J10" s="167" t="n"/>
    </row>
    <row r="11" hidden="1">
      <c r="B11" s="1106" t="inlineStr">
        <is>
          <t>V/r. de los activos afectados por fuerza mayor o caso fortuito</t>
        </is>
      </c>
      <c r="C11" s="967" t="n"/>
      <c r="D11" s="252" t="n">
        <v>0</v>
      </c>
      <c r="E11" s="255">
        <f>D11*$E$8</f>
        <v/>
      </c>
      <c r="F11" s="167" t="n"/>
      <c r="G11" s="167" t="n"/>
      <c r="H11" s="167" t="n"/>
      <c r="I11" s="167" t="n"/>
      <c r="J11" s="167" t="n"/>
    </row>
    <row r="12" hidden="1">
      <c r="B12" s="1106" t="inlineStr">
        <is>
          <t>Las primeras 8.000 UVT Casa habitación</t>
        </is>
      </c>
      <c r="C12" s="967" t="n"/>
      <c r="D12" s="252" t="n">
        <v>0</v>
      </c>
      <c r="E12" s="255">
        <f>IF(D12&gt;265248000,265248000,D12)</f>
        <v/>
      </c>
      <c r="F12" s="167" t="n"/>
      <c r="G12" s="167" t="n"/>
      <c r="H12" s="167" t="n"/>
      <c r="I12" s="167" t="n"/>
      <c r="J12" s="167" t="n"/>
    </row>
    <row r="13" hidden="1">
      <c r="B13" s="1106" t="inlineStr">
        <is>
          <t>Las primeras 19.000 UVT activos destinados sector agropecuario</t>
        </is>
      </c>
      <c r="C13" s="967" t="n"/>
      <c r="D13" s="252" t="n"/>
      <c r="E13" s="255">
        <f>IF(D13&gt;605321000,605321000,D13)</f>
        <v/>
      </c>
      <c r="F13" s="167" t="n"/>
      <c r="G13" s="167" t="n"/>
      <c r="H13" s="167" t="n"/>
      <c r="I13" s="167" t="n"/>
      <c r="J13" s="167" t="n"/>
    </row>
    <row r="14" hidden="1">
      <c r="B14" s="1107" t="inlineStr">
        <is>
          <t>Total base renta presuntiva</t>
        </is>
      </c>
      <c r="C14" s="971" t="n"/>
      <c r="D14" s="967" t="n"/>
      <c r="E14" s="256">
        <f>E6-E9-E12</f>
        <v/>
      </c>
      <c r="F14" s="167" t="n"/>
      <c r="G14" s="167" t="n"/>
      <c r="H14" s="167" t="n"/>
      <c r="I14" s="167" t="n"/>
      <c r="J14" s="167" t="n"/>
    </row>
    <row r="15" hidden="1">
      <c r="B15" s="1108" t="inlineStr">
        <is>
          <t>Renta presuntiva Inicial</t>
        </is>
      </c>
      <c r="C15" s="967" t="n"/>
      <c r="D15" s="1109" t="n">
        <v>0</v>
      </c>
      <c r="E15" s="257">
        <f>ROUND((E14*D15),-3)</f>
        <v/>
      </c>
      <c r="F15" s="167" t="n"/>
      <c r="G15" s="167" t="n"/>
      <c r="H15" s="167" t="n"/>
      <c r="I15" s="167" t="n"/>
      <c r="J15" s="167" t="n"/>
    </row>
    <row r="16" hidden="1">
      <c r="B16" s="1106" t="inlineStr">
        <is>
          <t>Más: ingresos gravados generados por los activos excluídos - Divid. gravados</t>
        </is>
      </c>
      <c r="C16" s="971" t="n"/>
      <c r="D16" s="967" t="n"/>
      <c r="E16" s="180" t="n">
        <v>0</v>
      </c>
      <c r="F16" s="167" t="n"/>
      <c r="G16" s="167" t="n"/>
      <c r="H16" s="167" t="n"/>
      <c r="I16" s="167" t="n"/>
      <c r="J16" s="167" t="n"/>
    </row>
    <row r="17" hidden="1">
      <c r="B17" s="1108" t="inlineStr">
        <is>
          <t>Total renta presuntiva depurada</t>
        </is>
      </c>
      <c r="C17" s="971" t="n"/>
      <c r="D17" s="967" t="n"/>
      <c r="E17" s="253">
        <f>ROUND(SUM(E15:E16),-3)</f>
        <v/>
      </c>
      <c r="F17" s="167" t="n"/>
      <c r="G17" s="167" t="n"/>
      <c r="H17" s="167" t="n"/>
      <c r="I17" s="167" t="n"/>
      <c r="J17" s="167" t="n"/>
    </row>
  </sheetData>
  <mergeCells count="15">
    <mergeCell ref="B13:C13"/>
    <mergeCell ref="B5:D5"/>
    <mergeCell ref="B14:D14"/>
    <mergeCell ref="B15:C15"/>
    <mergeCell ref="B11:C11"/>
    <mergeCell ref="B8:D8"/>
    <mergeCell ref="B4:D4"/>
    <mergeCell ref="B10:C10"/>
    <mergeCell ref="B17:D17"/>
    <mergeCell ref="B7:E7"/>
    <mergeCell ref="B9:C9"/>
    <mergeCell ref="B2:E3"/>
    <mergeCell ref="B6:D6"/>
    <mergeCell ref="B16:D16"/>
    <mergeCell ref="B12:C12"/>
  </mergeCells>
  <hyperlinks>
    <hyperlink ref="B2" location="'210'!AO16" display="RENTA PRESUNTIVA"/>
  </hyperlinks>
  <printOptions horizontalCentered="1" verticalCentered="1"/>
  <pageMargins left="0" right="0" top="0" bottom="0" header="0" footer="0"/>
  <pageSetup orientation="landscape" scale="84" horizontalDpi="300" verticalDpi="300"/>
</worksheet>
</file>

<file path=xl/worksheets/sheet21.xml><?xml version="1.0" encoding="utf-8"?>
<worksheet xmlns="http://schemas.openxmlformats.org/spreadsheetml/2006/main">
  <sheetPr codeName="Hoja12">
    <tabColor rgb="FF0070C0"/>
    <outlinePr summaryBelow="1" summaryRight="1"/>
    <pageSetUpPr/>
  </sheetPr>
  <dimension ref="B1:F47"/>
  <sheetViews>
    <sheetView showGridLines="0" topLeftCell="B1" zoomScale="170" zoomScaleNormal="170" zoomScaleSheetLayoutView="182" workbookViewId="0">
      <pane ySplit="1" topLeftCell="A12" activePane="bottomLeft" state="frozen"/>
      <selection pane="bottomLeft" activeCell="E18" sqref="E18"/>
    </sheetView>
  </sheetViews>
  <sheetFormatPr baseColWidth="10" defaultColWidth="0" defaultRowHeight="16" zeroHeight="1"/>
  <cols>
    <col width="1.83203125" customWidth="1" style="38" min="1" max="1"/>
    <col width="6" customWidth="1" style="38" min="2" max="2"/>
    <col width="65.5" customWidth="1" style="72" min="3" max="3"/>
    <col width="15.5" customWidth="1" style="72" min="4" max="4"/>
    <col width="15.1640625" bestFit="1" customWidth="1" style="72" min="5" max="5"/>
    <col width="14.5" customWidth="1" style="75" min="6" max="6"/>
    <col width="12" customWidth="1" style="38" min="7" max="7"/>
    <col width="14" bestFit="1" customWidth="1" style="38" min="8" max="8"/>
    <col hidden="1" width="44.83203125" customWidth="1" style="38" min="9" max="9"/>
    <col hidden="1" width="12.5" customWidth="1" style="38" min="10" max="10"/>
    <col hidden="1" width="11.5" customWidth="1" style="38" min="11" max="16384"/>
  </cols>
  <sheetData>
    <row r="1" ht="18" customHeight="1">
      <c r="B1" s="891" t="inlineStr">
        <is>
          <t>RENTAS POR DIVIDENDOS Y PARTICIPACIONES</t>
        </is>
      </c>
      <c r="C1" s="971" t="n"/>
      <c r="D1" s="971" t="n"/>
      <c r="E1" s="971" t="n"/>
      <c r="F1" s="967" t="n"/>
    </row>
    <row r="2" ht="31.5" customHeight="1">
      <c r="B2" s="701" t="inlineStr">
        <is>
          <t>Renglon 104</t>
        </is>
      </c>
      <c r="C2" s="892" t="inlineStr">
        <is>
          <t>Dividendos y participaciones 2016, anteriores y otros</t>
        </is>
      </c>
      <c r="D2" s="971" t="n"/>
      <c r="E2" s="971" t="n"/>
      <c r="F2" s="967" t="n"/>
    </row>
    <row r="3">
      <c r="B3" s="237" t="n"/>
      <c r="C3" s="785" t="n"/>
      <c r="D3" s="997" t="n"/>
      <c r="E3" s="200" t="n"/>
      <c r="F3" s="801">
        <f>ROUND(SUM(E3:E9),-3)</f>
        <v/>
      </c>
    </row>
    <row r="4">
      <c r="B4" s="237" t="n"/>
      <c r="C4" s="785" t="inlineStr">
        <is>
          <t xml:space="preserve">Dividendos no gravados </t>
        </is>
      </c>
      <c r="D4" s="997" t="n"/>
      <c r="E4" s="200" t="n"/>
      <c r="F4" s="237" t="n"/>
    </row>
    <row r="5">
      <c r="B5" s="237" t="n"/>
      <c r="C5" s="785" t="inlineStr">
        <is>
          <t xml:space="preserve">Dividendos gravados </t>
        </is>
      </c>
      <c r="D5" s="997" t="n"/>
      <c r="E5" s="200" t="n"/>
      <c r="F5" s="237" t="n"/>
    </row>
    <row r="6">
      <c r="B6" s="237" t="n"/>
      <c r="C6" s="785" t="n"/>
      <c r="D6" s="997" t="n"/>
      <c r="E6" s="200" t="n"/>
      <c r="F6" s="237" t="n"/>
    </row>
    <row r="7">
      <c r="B7" s="237" t="n"/>
      <c r="C7" s="785" t="n"/>
      <c r="D7" s="997" t="n"/>
      <c r="E7" s="200" t="n"/>
      <c r="F7" s="237" t="n"/>
    </row>
    <row r="8">
      <c r="B8" s="237" t="n"/>
      <c r="C8" s="785" t="n"/>
      <c r="D8" s="997" t="n"/>
      <c r="E8" s="200" t="n"/>
      <c r="F8" s="237" t="n"/>
    </row>
    <row r="9">
      <c r="B9" s="970" t="n"/>
      <c r="C9" s="785" t="n"/>
      <c r="D9" s="997" t="n"/>
      <c r="E9" s="200" t="n"/>
      <c r="F9" s="970" t="n"/>
    </row>
    <row r="10">
      <c r="B10" s="701" t="inlineStr">
        <is>
          <t>Renglon 105</t>
        </is>
      </c>
      <c r="C10" s="774" t="inlineStr">
        <is>
          <t>I.N.C.R.N.G.O.</t>
        </is>
      </c>
      <c r="D10" s="971" t="n"/>
      <c r="E10" s="971" t="n"/>
      <c r="F10" s="967" t="n"/>
    </row>
    <row r="11">
      <c r="B11" s="237" t="n"/>
      <c r="C11" s="785" t="n"/>
      <c r="D11" s="997" t="n"/>
      <c r="E11" s="200" t="n"/>
      <c r="F11" s="801">
        <f>ROUND(SUM(E11:E15),-3)</f>
        <v/>
      </c>
    </row>
    <row r="12">
      <c r="B12" s="237" t="n"/>
      <c r="C12" s="785" t="inlineStr">
        <is>
          <t xml:space="preserve">Dividendos no gravados </t>
        </is>
      </c>
      <c r="D12" s="997" t="n"/>
      <c r="E12" s="200">
        <f>E4</f>
        <v/>
      </c>
      <c r="F12" s="237" t="n"/>
    </row>
    <row r="13">
      <c r="B13" s="237" t="n"/>
      <c r="C13" s="785" t="n"/>
      <c r="D13" s="997" t="n"/>
      <c r="E13" s="200" t="n"/>
      <c r="F13" s="237" t="n"/>
    </row>
    <row r="14">
      <c r="B14" s="237" t="n"/>
      <c r="C14" s="785" t="n"/>
      <c r="D14" s="997" t="n"/>
      <c r="E14" s="200" t="n"/>
      <c r="F14" s="237" t="n"/>
    </row>
    <row r="15">
      <c r="B15" s="970" t="n"/>
      <c r="C15" s="785" t="n"/>
      <c r="D15" s="997" t="n"/>
      <c r="E15" s="200" t="n"/>
      <c r="F15" s="970" t="n"/>
    </row>
    <row r="16">
      <c r="B16" s="701" t="inlineStr">
        <is>
          <t>Renglon 107</t>
        </is>
      </c>
      <c r="C16" s="774" t="inlineStr">
        <is>
          <t>1a. Subcédula año 2017 y siguientes numeral 3. Art 49 del E.T.</t>
        </is>
      </c>
      <c r="D16" s="971" t="n"/>
      <c r="E16" s="971" t="n"/>
      <c r="F16" s="967" t="n"/>
    </row>
    <row r="17">
      <c r="B17" s="237" t="n"/>
      <c r="C17" s="200" t="n"/>
      <c r="D17" s="997" t="n"/>
      <c r="E17" s="200" t="n"/>
      <c r="F17" s="343">
        <f>ROUND(SUM(E17:E23),-3)</f>
        <v/>
      </c>
    </row>
    <row r="18">
      <c r="B18" s="237" t="n"/>
      <c r="C18" s="785" t="inlineStr">
        <is>
          <t xml:space="preserve">Dividendos no gravados </t>
        </is>
      </c>
      <c r="D18" s="997" t="n"/>
      <c r="E18" s="1110" t="n"/>
      <c r="F18" s="344" t="n"/>
    </row>
    <row r="19">
      <c r="B19" s="237" t="n"/>
      <c r="C19" s="200" t="n"/>
      <c r="D19" s="997" t="n"/>
      <c r="E19" s="200" t="n"/>
      <c r="F19" s="344" t="n"/>
    </row>
    <row r="20">
      <c r="B20" s="237" t="n"/>
      <c r="C20" s="200" t="n"/>
      <c r="D20" s="997" t="n"/>
      <c r="E20" s="200" t="n"/>
      <c r="F20" s="344" t="n"/>
    </row>
    <row r="21">
      <c r="B21" s="237" t="n"/>
      <c r="C21" s="200" t="n"/>
      <c r="D21" s="997" t="n"/>
      <c r="E21" s="200" t="n"/>
      <c r="F21" s="344" t="n"/>
    </row>
    <row r="22">
      <c r="B22" s="237" t="n"/>
      <c r="C22" s="200" t="n"/>
      <c r="D22" s="997" t="n"/>
      <c r="E22" s="200" t="n"/>
      <c r="F22" s="344" t="n"/>
    </row>
    <row r="23">
      <c r="B23" s="970" t="n"/>
      <c r="C23" s="200" t="n"/>
      <c r="D23" s="997" t="n"/>
      <c r="E23" s="200" t="n"/>
      <c r="F23" s="344" t="n"/>
    </row>
    <row r="24">
      <c r="B24" s="701" t="inlineStr">
        <is>
          <t>Renglon 108</t>
        </is>
      </c>
      <c r="C24" s="774" t="inlineStr">
        <is>
          <t>2a Subcedula año 2017 y siguientes (parágrafo 2 Art. 49)</t>
        </is>
      </c>
      <c r="D24" s="971" t="n"/>
      <c r="E24" s="971" t="n"/>
      <c r="F24" s="967" t="n"/>
    </row>
    <row r="25">
      <c r="B25" s="237" t="n"/>
      <c r="C25" s="200" t="n"/>
      <c r="D25" s="997" t="n"/>
      <c r="E25" s="200" t="n"/>
      <c r="F25" s="343">
        <f>ROUND(SUM(E25:E31),-3)</f>
        <v/>
      </c>
    </row>
    <row r="26">
      <c r="B26" s="237" t="n"/>
      <c r="C26" s="785" t="inlineStr">
        <is>
          <t xml:space="preserve">Dividendos gravados </t>
        </is>
      </c>
      <c r="D26" s="997" t="n"/>
      <c r="E26" s="200" t="n"/>
      <c r="F26" s="343" t="n"/>
    </row>
    <row r="27">
      <c r="B27" s="237" t="n"/>
      <c r="C27" s="785" t="n"/>
      <c r="D27" s="997" t="n"/>
      <c r="E27" s="1111" t="n"/>
      <c r="F27" s="343" t="n"/>
    </row>
    <row r="28">
      <c r="B28" s="237" t="n"/>
      <c r="C28" s="785" t="n"/>
      <c r="D28" s="997" t="n"/>
      <c r="E28" s="200" t="n"/>
      <c r="F28" s="343" t="n"/>
    </row>
    <row r="29">
      <c r="B29" s="237" t="n"/>
      <c r="C29" s="785" t="n"/>
      <c r="D29" s="997" t="n"/>
      <c r="E29" s="200" t="n"/>
      <c r="F29" s="343" t="n"/>
    </row>
    <row r="30">
      <c r="B30" s="237" t="n"/>
      <c r="C30" s="785" t="n"/>
      <c r="D30" s="997" t="n"/>
      <c r="E30" s="200" t="n"/>
      <c r="F30" s="343" t="n"/>
    </row>
    <row r="31">
      <c r="B31" s="970" t="n"/>
      <c r="C31" s="785" t="n"/>
      <c r="D31" s="997" t="n"/>
      <c r="E31" s="200" t="n"/>
      <c r="F31" s="343" t="n"/>
    </row>
    <row r="32">
      <c r="B32" s="701" t="inlineStr">
        <is>
          <t>Renglon 109</t>
        </is>
      </c>
      <c r="C32" s="774" t="inlineStr">
        <is>
          <t>Renta líquida pasiva dividendos - E.C.E.</t>
        </is>
      </c>
      <c r="D32" s="971" t="n"/>
      <c r="E32" s="971" t="n"/>
      <c r="F32" s="967" t="n"/>
    </row>
    <row r="33">
      <c r="B33" s="237" t="n"/>
      <c r="C33" s="1026" t="n"/>
      <c r="D33" s="997" t="n"/>
      <c r="E33" s="200" t="n"/>
      <c r="F33" s="890">
        <f>ROUND(SUM(E33:E39),-3)</f>
        <v/>
      </c>
    </row>
    <row r="34">
      <c r="B34" s="237" t="n"/>
      <c r="C34" s="1026" t="n"/>
      <c r="D34" s="997" t="n"/>
      <c r="E34" s="200" t="n"/>
      <c r="F34" s="237" t="n"/>
    </row>
    <row r="35">
      <c r="B35" s="237" t="n"/>
      <c r="C35" s="1026" t="n"/>
      <c r="D35" s="997" t="n"/>
      <c r="E35" s="200" t="n"/>
      <c r="F35" s="237" t="n"/>
    </row>
    <row r="36">
      <c r="B36" s="237" t="n"/>
      <c r="C36" s="1026" t="n"/>
      <c r="D36" s="997" t="n"/>
      <c r="E36" s="200" t="n"/>
      <c r="F36" s="237" t="n"/>
    </row>
    <row r="37">
      <c r="B37" s="237" t="n"/>
      <c r="C37" s="1026" t="n"/>
      <c r="D37" s="997" t="n"/>
      <c r="E37" s="200" t="n"/>
      <c r="F37" s="237" t="n"/>
    </row>
    <row r="38">
      <c r="B38" s="237" t="n"/>
      <c r="C38" s="1026" t="n"/>
      <c r="D38" s="997" t="n"/>
      <c r="E38" s="200" t="n"/>
      <c r="F38" s="237" t="n"/>
    </row>
    <row r="39">
      <c r="B39" s="970" t="n"/>
      <c r="C39" s="1026" t="n"/>
      <c r="D39" s="997" t="n"/>
      <c r="E39" s="200" t="n"/>
      <c r="F39" s="970" t="n"/>
    </row>
    <row r="40">
      <c r="B40" s="701" t="inlineStr">
        <is>
          <t>Renglon 110</t>
        </is>
      </c>
      <c r="C40" s="774" t="inlineStr">
        <is>
          <t>Rentas exentas de la casilla 110</t>
        </is>
      </c>
      <c r="D40" s="971" t="n"/>
      <c r="E40" s="971" t="n"/>
      <c r="F40" s="967" t="n"/>
    </row>
    <row r="41">
      <c r="B41" s="237" t="n"/>
      <c r="C41" s="1026" t="n"/>
      <c r="D41" s="997" t="n"/>
      <c r="E41" s="200" t="n"/>
      <c r="F41" s="890">
        <f>ROUND(SUM(E41:E47),-3)</f>
        <v/>
      </c>
    </row>
    <row r="42">
      <c r="B42" s="237" t="n"/>
      <c r="C42" s="1026" t="n"/>
      <c r="D42" s="997" t="n"/>
      <c r="E42" s="200" t="n"/>
      <c r="F42" s="237" t="n"/>
    </row>
    <row r="43">
      <c r="B43" s="237" t="n"/>
      <c r="C43" s="1026" t="n"/>
      <c r="D43" s="997" t="n"/>
      <c r="E43" s="200" t="n"/>
      <c r="F43" s="237" t="n"/>
    </row>
    <row r="44">
      <c r="B44" s="237" t="n"/>
      <c r="C44" s="1026" t="n"/>
      <c r="D44" s="997" t="n"/>
      <c r="E44" s="200" t="n"/>
      <c r="F44" s="237" t="n"/>
    </row>
    <row r="45">
      <c r="B45" s="237" t="n"/>
      <c r="C45" s="1026" t="n"/>
      <c r="D45" s="997" t="n"/>
      <c r="E45" s="200" t="n"/>
      <c r="F45" s="237" t="n"/>
    </row>
    <row r="46">
      <c r="B46" s="237" t="n"/>
      <c r="C46" s="1026" t="n"/>
      <c r="D46" s="997" t="n"/>
      <c r="E46" s="200" t="n"/>
      <c r="F46" s="237" t="n"/>
    </row>
    <row r="47">
      <c r="B47" s="970" t="n"/>
      <c r="C47" s="1026" t="n"/>
      <c r="D47" s="997" t="n"/>
      <c r="E47" s="200" t="n"/>
      <c r="F47" s="970" t="n"/>
    </row>
  </sheetData>
  <mergeCells count="57">
    <mergeCell ref="C34:D34"/>
    <mergeCell ref="C6:D6"/>
    <mergeCell ref="C30:D30"/>
    <mergeCell ref="C15:D15"/>
    <mergeCell ref="C33:D33"/>
    <mergeCell ref="C42:D42"/>
    <mergeCell ref="C5:D5"/>
    <mergeCell ref="F33:F39"/>
    <mergeCell ref="C45:D45"/>
    <mergeCell ref="C14:D14"/>
    <mergeCell ref="F41:F47"/>
    <mergeCell ref="B16:B23"/>
    <mergeCell ref="C32:F32"/>
    <mergeCell ref="B32:B39"/>
    <mergeCell ref="C26:D26"/>
    <mergeCell ref="C35:D35"/>
    <mergeCell ref="C4:D4"/>
    <mergeCell ref="C20:D20"/>
    <mergeCell ref="C29:D29"/>
    <mergeCell ref="C47:D47"/>
    <mergeCell ref="C25:D25"/>
    <mergeCell ref="C41:D41"/>
    <mergeCell ref="C44:D44"/>
    <mergeCell ref="C22:D22"/>
    <mergeCell ref="B1:F1"/>
    <mergeCell ref="B2:B9"/>
    <mergeCell ref="C24:F24"/>
    <mergeCell ref="C9:D9"/>
    <mergeCell ref="C31:D31"/>
    <mergeCell ref="C43:D43"/>
    <mergeCell ref="C12:D12"/>
    <mergeCell ref="C46:D46"/>
    <mergeCell ref="C21:D21"/>
    <mergeCell ref="C11:D11"/>
    <mergeCell ref="C27:D27"/>
    <mergeCell ref="F11:F15"/>
    <mergeCell ref="C36:D36"/>
    <mergeCell ref="C16:F16"/>
    <mergeCell ref="B10:B15"/>
    <mergeCell ref="C10:F10"/>
    <mergeCell ref="C17:D17"/>
    <mergeCell ref="C23:D23"/>
    <mergeCell ref="C39:D39"/>
    <mergeCell ref="C8:D8"/>
    <mergeCell ref="C40:F40"/>
    <mergeCell ref="C7:D7"/>
    <mergeCell ref="C38:D38"/>
    <mergeCell ref="B40:B47"/>
    <mergeCell ref="C19:D19"/>
    <mergeCell ref="C37:D37"/>
    <mergeCell ref="F3:F9"/>
    <mergeCell ref="C28:D28"/>
    <mergeCell ref="C13:D13"/>
    <mergeCell ref="B24:B31"/>
    <mergeCell ref="C18:D18"/>
    <mergeCell ref="C2:F2"/>
    <mergeCell ref="C3:D3"/>
  </mergeCells>
  <hyperlinks>
    <hyperlink ref="B2" location="'FORMULARIO 210'!J40" display="Renglon 104"/>
    <hyperlink ref="B10" location="'FORMULARIO 210'!J41" display="Renglon 105"/>
    <hyperlink ref="B16" location="'FORMULARIO 210'!J43" display="Renglon 107"/>
    <hyperlink ref="B24" location="'FORMULARIO 210'!J44" display="Renglon 108"/>
    <hyperlink ref="B32" location="'FORMULARIO 210'!J45" display="Renglon 109"/>
    <hyperlink ref="B40" location="'FORMULARIO 210'!J46" display="Renglon 110"/>
  </hyperlinks>
  <pageMargins left="0.7" right="0.7" top="0.75" bottom="0.75" header="0.3" footer="0.3"/>
  <pageSetup orientation="portrait" scale="69" horizontalDpi="300" verticalDpi="300"/>
</worksheet>
</file>

<file path=xl/worksheets/sheet22.xml><?xml version="1.0" encoding="utf-8"?>
<worksheet xmlns="http://schemas.openxmlformats.org/spreadsheetml/2006/main">
  <sheetPr codeName="Hoja15">
    <tabColor rgb="FFFF0000"/>
    <outlinePr summaryBelow="1" summaryRight="1"/>
    <pageSetUpPr/>
  </sheetPr>
  <dimension ref="A2:J51"/>
  <sheetViews>
    <sheetView showGridLines="0" defaultGridColor="0" view="pageBreakPreview" colorId="57" zoomScale="110" zoomScaleNormal="109" zoomScaleSheetLayoutView="110" workbookViewId="0">
      <selection activeCell="E3" sqref="E3"/>
    </sheetView>
  </sheetViews>
  <sheetFormatPr baseColWidth="10" defaultColWidth="11" defaultRowHeight="13"/>
  <cols>
    <col width="12.83203125" customWidth="1" style="4" min="1" max="1"/>
    <col width="11.5" customWidth="1" style="4" min="2" max="2"/>
    <col width="17.1640625" customWidth="1" style="4" min="3" max="3"/>
    <col width="23.83203125" customWidth="1" style="4" min="4" max="4"/>
    <col width="25.5" customWidth="1" style="4" min="5" max="5"/>
    <col width="47.5" customWidth="1" style="4" min="6" max="6"/>
    <col width="16.83203125" customWidth="1" style="4" min="7" max="7"/>
    <col width="14.5" bestFit="1" customWidth="1" style="4" min="8" max="8"/>
    <col width="13.83203125" bestFit="1" customWidth="1" style="4" min="9" max="9"/>
    <col width="11.5" bestFit="1" customWidth="1" style="4" min="10" max="10"/>
    <col width="11" customWidth="1" style="4" min="11" max="16384"/>
  </cols>
  <sheetData>
    <row r="2" ht="14" customHeight="1">
      <c r="A2" s="924" t="inlineStr">
        <is>
          <t>Valor UVT año 2023</t>
        </is>
      </c>
      <c r="B2" s="971" t="n"/>
      <c r="C2" s="971" t="n"/>
      <c r="D2" s="967" t="n"/>
      <c r="E2" s="102" t="n">
        <v>49799</v>
      </c>
      <c r="H2" s="108" t="inlineStr">
        <is>
          <t>R.L.C.GENERAL</t>
        </is>
      </c>
      <c r="I2" s="342">
        <f>'FORMULARIO 210'!J46</f>
        <v/>
      </c>
    </row>
    <row r="3" ht="14" customHeight="1">
      <c r="H3" s="4" t="inlineStr">
        <is>
          <t>Renta presuntiva</t>
        </is>
      </c>
      <c r="I3" s="123">
        <f>'FORMULARIO 210'!AA33</f>
        <v/>
      </c>
    </row>
    <row r="4" ht="28" customHeight="1">
      <c r="H4" s="4" t="inlineStr">
        <is>
          <t>Renta liq pension</t>
        </is>
      </c>
      <c r="I4" s="123">
        <f>'FORMULARIO 210'!J38</f>
        <v/>
      </c>
    </row>
    <row r="5" ht="14" customHeight="1">
      <c r="H5" s="108" t="inlineStr">
        <is>
          <t>Total</t>
        </is>
      </c>
      <c r="I5" s="315">
        <f>SUM(I3:I4)</f>
        <v/>
      </c>
    </row>
    <row r="6" ht="17" customHeight="1" thickBot="1">
      <c r="A6" s="26" t="n"/>
      <c r="B6" s="26" t="n"/>
      <c r="C6" s="26" t="n"/>
      <c r="D6" s="26" t="n"/>
      <c r="E6" s="1112" t="n"/>
    </row>
    <row r="7" ht="15" customHeight="1">
      <c r="A7" s="688" t="inlineStr">
        <is>
          <t>Ingresos brutos anuales</t>
        </is>
      </c>
      <c r="B7" s="1007" t="n"/>
      <c r="C7" s="689" t="inlineStr">
        <is>
          <t>Ingresos brutos anuales</t>
        </is>
      </c>
      <c r="D7" s="1007" t="n"/>
      <c r="E7" s="684" t="inlineStr">
        <is>
          <t>Tarifa marginal</t>
        </is>
      </c>
      <c r="F7" s="684" t="inlineStr">
        <is>
          <t>CALCULO</t>
        </is>
      </c>
      <c r="G7" s="684" t="inlineStr">
        <is>
          <t>BASE CEDULA GENERAL Y PENSIÓN</t>
        </is>
      </c>
      <c r="H7" s="686" t="inlineStr">
        <is>
          <t>IMPUESTO</t>
        </is>
      </c>
      <c r="I7" s="930" t="inlineStr">
        <is>
          <t>BASE RENTA PRESUNTIVA Y PENSIÓN</t>
        </is>
      </c>
      <c r="J7" s="932" t="inlineStr">
        <is>
          <t>IMPUESTO</t>
        </is>
      </c>
    </row>
    <row r="8" ht="15" customHeight="1">
      <c r="A8" s="57" t="inlineStr">
        <is>
          <t xml:space="preserve">Igual o superior </t>
        </is>
      </c>
      <c r="B8" s="58" t="inlineStr">
        <is>
          <t xml:space="preserve">Igual o superior </t>
        </is>
      </c>
      <c r="C8" s="58" t="inlineStr">
        <is>
          <t>Inferior</t>
        </is>
      </c>
      <c r="D8" s="58" t="n"/>
      <c r="E8" s="970" t="n"/>
      <c r="F8" s="970" t="n"/>
      <c r="G8" s="970" t="n"/>
      <c r="H8" s="1008" t="n"/>
      <c r="I8" s="970" t="n"/>
      <c r="J8" s="1008" t="n"/>
    </row>
    <row r="9" ht="15" customHeight="1">
      <c r="A9" s="1010" t="n">
        <v>0</v>
      </c>
      <c r="B9" s="1010" t="n">
        <v>1090</v>
      </c>
      <c r="C9" s="1010">
        <f>A9*$E$2</f>
        <v/>
      </c>
      <c r="D9" s="1010">
        <f>B9*$E$2</f>
        <v/>
      </c>
      <c r="E9" s="105" t="n">
        <v>0</v>
      </c>
      <c r="F9" s="47" t="n">
        <v>0</v>
      </c>
      <c r="G9" s="314">
        <f>'FORMULARIO 210'!J46</f>
        <v/>
      </c>
      <c r="H9" s="1010" t="n">
        <v>0</v>
      </c>
      <c r="I9" s="314">
        <f>IF(I5&gt;I2,I5,0)</f>
        <v/>
      </c>
      <c r="J9" s="62" t="n">
        <v>0</v>
      </c>
    </row>
    <row r="10" ht="15" customHeight="1">
      <c r="A10" s="1010">
        <f>B9+1</f>
        <v/>
      </c>
      <c r="B10" s="1010" t="n">
        <v>1700</v>
      </c>
      <c r="C10" s="1010">
        <f>A10*$E$2</f>
        <v/>
      </c>
      <c r="D10" s="1010">
        <f>B10*$E$2</f>
        <v/>
      </c>
      <c r="E10" s="105" t="n">
        <v>0.19</v>
      </c>
      <c r="F10" s="47" t="inlineStr">
        <is>
          <t>(Base gravable en UVT Menos 1090 UVT) *19%</t>
        </is>
      </c>
      <c r="G10" s="314">
        <f>$G$9</f>
        <v/>
      </c>
      <c r="H10" s="1010">
        <f>(((G10/$E$2)-1090)*19%)*E2</f>
        <v/>
      </c>
      <c r="I10" s="314">
        <f>$I$9</f>
        <v/>
      </c>
      <c r="J10" s="314">
        <f>(((I10/$E$2)-1090)*19%)*E2</f>
        <v/>
      </c>
    </row>
    <row r="11" ht="15" customHeight="1">
      <c r="A11" s="1010">
        <f>B10+1</f>
        <v/>
      </c>
      <c r="B11" s="1010" t="n">
        <v>4100</v>
      </c>
      <c r="C11" s="1010">
        <f>A11*$E$2</f>
        <v/>
      </c>
      <c r="D11" s="1010">
        <f>B11*$E$2</f>
        <v/>
      </c>
      <c r="E11" s="105" t="n">
        <v>0.28</v>
      </c>
      <c r="F11" s="47" t="inlineStr">
        <is>
          <t>(Base gravable en UVT Menos 1700 UVT) *28% + 116 UVT</t>
        </is>
      </c>
      <c r="G11" s="314">
        <f>$G$9</f>
        <v/>
      </c>
      <c r="H11" s="1010">
        <f>((((G11/$E$2)-1700)*28%)+116)*$E$2</f>
        <v/>
      </c>
      <c r="I11" s="314">
        <f>$I$9</f>
        <v/>
      </c>
      <c r="J11" s="314">
        <f>((((I11/$E$2)-1700)*28%)+116)*$E$2</f>
        <v/>
      </c>
    </row>
    <row r="12" ht="15" customHeight="1">
      <c r="A12" s="1010">
        <f>B11+1</f>
        <v/>
      </c>
      <c r="B12" s="1010" t="n">
        <v>8670</v>
      </c>
      <c r="C12" s="1010">
        <f>A12*$E$2</f>
        <v/>
      </c>
      <c r="D12" s="1010">
        <f>B12*$E$2</f>
        <v/>
      </c>
      <c r="E12" s="105" t="n">
        <v>0.33</v>
      </c>
      <c r="F12" s="47" t="inlineStr">
        <is>
          <t>(Base gravable en UVT Menos 4100 UVT)  *33% + 788 UVT</t>
        </is>
      </c>
      <c r="G12" s="314">
        <f>$G$9</f>
        <v/>
      </c>
      <c r="H12" s="1010">
        <f>((((G12/$E$2)-4100)*33%)+788)*$E$2</f>
        <v/>
      </c>
      <c r="I12" s="314">
        <f>$I$9</f>
        <v/>
      </c>
      <c r="J12" s="314">
        <f>((((I12/$E$2)-4100)*33%)+788)*$E$2</f>
        <v/>
      </c>
    </row>
    <row r="13" ht="15" customHeight="1">
      <c r="A13" s="1010">
        <f>B12+1</f>
        <v/>
      </c>
      <c r="B13" s="1010" t="n">
        <v>18970</v>
      </c>
      <c r="C13" s="1010">
        <f>A13*$E$2</f>
        <v/>
      </c>
      <c r="D13" s="1010">
        <f>B13*$E$2</f>
        <v/>
      </c>
      <c r="E13" s="105" t="n">
        <v>0.35</v>
      </c>
      <c r="F13" s="47" t="inlineStr">
        <is>
          <t>(Base gravable en UVT Menos 8670 UVT)  *35% + 2296 UVT</t>
        </is>
      </c>
      <c r="G13" s="314">
        <f>$G$9</f>
        <v/>
      </c>
      <c r="H13" s="1010">
        <f>((((G13/$E$2)-8670)*35%)+2296)*$E$2</f>
        <v/>
      </c>
      <c r="I13" s="314">
        <f>$I$9</f>
        <v/>
      </c>
      <c r="J13" s="314">
        <f>((((I13/$E$2)-8670)*35%)+2296)*$E$2</f>
        <v/>
      </c>
    </row>
    <row r="14" ht="15" customHeight="1">
      <c r="A14" s="1010">
        <f>B13+1</f>
        <v/>
      </c>
      <c r="B14" s="1010" t="n">
        <v>31000</v>
      </c>
      <c r="C14" s="1010">
        <f>A14*$E$2</f>
        <v/>
      </c>
      <c r="D14" s="1010">
        <f>B14*$E$2</f>
        <v/>
      </c>
      <c r="E14" s="105" t="n">
        <v>0.37</v>
      </c>
      <c r="F14" s="47" t="inlineStr">
        <is>
          <t>(Base gravable en UVT Menos 18970 UVT) *37% + 5901 UVT</t>
        </is>
      </c>
      <c r="G14" s="314">
        <f>$G$9</f>
        <v/>
      </c>
      <c r="H14" s="1010">
        <f>((((G14/$E$2)-18970)*37%)+5901)*$E$2</f>
        <v/>
      </c>
      <c r="I14" s="314">
        <f>$I$9</f>
        <v/>
      </c>
      <c r="J14" s="314">
        <f>((((I14/$E$2)-18970)*37%)+5901)*$E$2</f>
        <v/>
      </c>
    </row>
    <row r="15" ht="15" customHeight="1">
      <c r="A15" s="1010">
        <f>B14+1</f>
        <v/>
      </c>
      <c r="B15" s="1010" t="inlineStr">
        <is>
          <t>En adelante</t>
        </is>
      </c>
      <c r="C15" s="1010">
        <f>A15*$E$2</f>
        <v/>
      </c>
      <c r="D15" s="1010" t="n">
        <v>9999999999</v>
      </c>
      <c r="E15" s="105" t="n">
        <v>0.39</v>
      </c>
      <c r="F15" s="47" t="inlineStr">
        <is>
          <t>(Base gravable en UVT Menos 31000 UVT) *39% - 10352 UVT</t>
        </is>
      </c>
      <c r="G15" s="314">
        <f>$G$9</f>
        <v/>
      </c>
      <c r="H15" s="1010">
        <f>((((G15/$E$2)-31000)*39%)+10352)*$E$2</f>
        <v/>
      </c>
      <c r="I15" s="314">
        <f>$I$9</f>
        <v/>
      </c>
      <c r="J15" s="314">
        <f>((((I15/$E$2)-31000)*39%)+10352)*$E$2</f>
        <v/>
      </c>
    </row>
    <row r="16" ht="17" customHeight="1" thickBot="1">
      <c r="A16" s="26" t="n"/>
      <c r="B16" s="26" t="n"/>
      <c r="C16" s="26" t="n"/>
      <c r="D16" s="26" t="n"/>
      <c r="E16" s="1112" t="n"/>
    </row>
    <row r="17" ht="14" customHeight="1">
      <c r="A17" s="929" t="inlineStr">
        <is>
          <t>Renta  cedula general + pensión</t>
        </is>
      </c>
      <c r="B17" s="1113" t="n"/>
      <c r="C17" s="1113" t="n"/>
      <c r="D17" s="1114" t="n"/>
      <c r="E17" s="29">
        <f>ROUND(IF(AND('impto renta'!G9&gt;'impto renta'!C9,'impto renta'!G9&lt;'impto renta'!D9),'impto renta'!H9,IF(AND('impto renta'!G10&gt;'impto renta'!C10,'impto renta'!G10&lt;'impto renta'!D10),'impto renta'!H10,IF(AND('impto renta'!G11&gt;'impto renta'!C11,'impto renta'!G11&lt;'impto renta'!D11),'impto renta'!H11,IF(AND('impto renta'!G12&gt;'impto renta'!C12,'impto renta'!G12&lt;'impto renta'!D12),'impto renta'!H12,IF(AND('impto renta'!G13&gt;'impto renta'!C13,'impto renta'!G13&lt;'impto renta'!D13),'impto renta'!H13,IF(AND('impto renta'!G14&gt;'impto renta'!C14,'impto renta'!G14&lt;'impto renta'!D14),'impto renta'!H14,IF(AND('impto renta'!G15&gt;'impto renta'!C15,'impto renta'!G15&lt;'impto renta'!D15),'impto renta'!H15,0))))))),-3)</f>
        <v/>
      </c>
    </row>
    <row r="18" ht="14" customHeight="1" thickBot="1">
      <c r="A18" s="923" t="inlineStr">
        <is>
          <t>renta presentiva renta  + pensión</t>
        </is>
      </c>
      <c r="B18" s="1115" t="n"/>
      <c r="C18" s="1115" t="n"/>
      <c r="D18" s="1116" t="n"/>
      <c r="E18" s="1117">
        <f>ROUND(IF(AND('impto renta'!I9&gt;'impto renta'!C9,'impto renta'!I9&lt;'impto renta'!D9),'impto renta'!J9,IF(AND('impto renta'!I10&gt;'impto renta'!C10,'impto renta'!I10&lt;'impto renta'!D10),'impto renta'!J10,IF(AND('impto renta'!I11&gt;'impto renta'!C11,'impto renta'!I11&lt;'impto renta'!D11),'impto renta'!J11,IF(AND('impto renta'!I12&gt;'impto renta'!C12,'impto renta'!I12&lt;'impto renta'!D12),'impto renta'!J12,IF(AND('impto renta'!I13&gt;'impto renta'!C13,'impto renta'!I13&lt;'impto renta'!D13),'impto renta'!J13,IF(AND('impto renta'!I14&gt;'impto renta'!C14,'impto renta'!I14&lt;'impto renta'!D14),'impto renta'!J14,IF(AND('impto renta'!I15&gt;'impto renta'!C15,'impto renta'!I15&lt;'impto renta'!D15),'impto renta'!J15,0))))))),-3)</f>
        <v/>
      </c>
    </row>
    <row r="19" ht="16" customHeight="1">
      <c r="A19" s="26" t="n"/>
      <c r="B19" s="26" t="n"/>
      <c r="C19" s="26" t="n"/>
      <c r="D19" s="26" t="n"/>
      <c r="E19" s="1112" t="n"/>
      <c r="F19" s="1112" t="n"/>
      <c r="G19" s="1112" t="n"/>
    </row>
    <row r="20" ht="16" customHeight="1">
      <c r="A20" s="26" t="n"/>
      <c r="B20" s="26" t="n"/>
      <c r="C20" s="26" t="n"/>
      <c r="D20" s="26" t="n"/>
      <c r="E20" s="1112" t="n"/>
      <c r="F20" s="1112" t="n"/>
      <c r="G20" s="1112" t="n"/>
    </row>
    <row r="21" ht="16" customHeight="1">
      <c r="A21" s="26" t="n"/>
      <c r="B21" s="26" t="n"/>
      <c r="C21" s="26" t="n"/>
      <c r="D21" s="26" t="n"/>
      <c r="E21" s="1112" t="n"/>
      <c r="F21" s="1112" t="n"/>
      <c r="G21" s="1112" t="n"/>
    </row>
    <row r="22" ht="16" customHeight="1">
      <c r="A22" s="26" t="n"/>
      <c r="B22" s="26" t="n"/>
      <c r="C22" s="26" t="n"/>
      <c r="D22" s="26" t="n"/>
      <c r="E22" s="1112" t="n"/>
    </row>
    <row r="23" ht="24" customHeight="1" thickBot="1">
      <c r="A23" s="927" t="inlineStr">
        <is>
          <t>Por dividendos y participaciones año 2016 (base casilla 76)</t>
        </is>
      </c>
    </row>
    <row r="24" ht="16" customHeight="1">
      <c r="A24" s="926" t="inlineStr">
        <is>
          <t>Renta líquida sobre dividendos gravados 2016 y anteriores</t>
        </is>
      </c>
      <c r="B24" s="1118" t="n"/>
      <c r="C24" s="1118" t="n"/>
      <c r="D24" s="1119" t="n"/>
      <c r="E24" s="30">
        <f>'FORMULARIO 210'!J41</f>
        <v/>
      </c>
    </row>
    <row r="25" ht="16" customHeight="1">
      <c r="A25" s="899" t="inlineStr">
        <is>
          <t>En UVT</t>
        </is>
      </c>
      <c r="B25" s="971" t="n"/>
      <c r="C25" s="971" t="n"/>
      <c r="D25" s="967" t="n"/>
      <c r="E25" s="31">
        <f>E24/$E$2</f>
        <v/>
      </c>
    </row>
    <row r="26" ht="17" customHeight="1" thickBot="1">
      <c r="A26" s="916" t="inlineStr">
        <is>
          <t>Valor del impuesto de renta</t>
        </is>
      </c>
      <c r="B26" s="1120" t="n"/>
      <c r="C26" s="1120" t="n"/>
      <c r="D26" s="1121" t="n"/>
      <c r="E26" s="1122">
        <f>MAX(E31:E34)</f>
        <v/>
      </c>
    </row>
    <row r="27" ht="16" customHeight="1">
      <c r="A27" s="26" t="n"/>
      <c r="B27" s="26" t="n"/>
      <c r="C27" s="26" t="n"/>
      <c r="D27" s="26" t="n"/>
      <c r="E27" s="1112" t="n"/>
    </row>
    <row r="28">
      <c r="F28" s="108" t="n"/>
      <c r="H28" s="108" t="n"/>
      <c r="I28" s="108" t="n"/>
    </row>
    <row r="29" ht="19.5" customHeight="1">
      <c r="A29" s="919" t="inlineStr">
        <is>
          <t>Rangos en UVT</t>
        </is>
      </c>
      <c r="B29" s="967" t="n"/>
      <c r="C29" s="921" t="inlineStr">
        <is>
          <t>Tarifa 
marginal</t>
        </is>
      </c>
      <c r="D29" s="920" t="inlineStr">
        <is>
          <t>Impuesto</t>
        </is>
      </c>
      <c r="E29" s="917" t="inlineStr">
        <is>
          <t>IMPUESTO SOBRE LA RENTA POR DIVIDENDOS 2016 Y ANTERIORES</t>
        </is>
      </c>
      <c r="F29" s="108" t="n"/>
      <c r="G29" s="108" t="n"/>
      <c r="H29" s="108" t="n"/>
      <c r="I29" s="108" t="n"/>
    </row>
    <row r="30" ht="19.5" customHeight="1">
      <c r="A30" s="919" t="inlineStr">
        <is>
          <t xml:space="preserve">Desde </t>
        </is>
      </c>
      <c r="B30" s="921" t="inlineStr">
        <is>
          <t>Hasta</t>
        </is>
      </c>
      <c r="C30" s="970" t="n"/>
      <c r="D30" s="970" t="n"/>
      <c r="E30" s="970" t="n"/>
      <c r="F30" s="108" t="n"/>
      <c r="G30" s="108" t="n"/>
      <c r="H30" s="108" t="n"/>
      <c r="I30" s="108" t="n"/>
    </row>
    <row r="31" ht="14" customHeight="1">
      <c r="A31" s="111" t="inlineStr">
        <is>
          <t>&gt;0</t>
        </is>
      </c>
      <c r="B31" s="112" t="n">
        <v>1090</v>
      </c>
      <c r="C31" s="113" t="n">
        <v>0</v>
      </c>
      <c r="D31" s="112" t="n">
        <v>0</v>
      </c>
      <c r="E31" s="1123" t="n">
        <v>0</v>
      </c>
      <c r="F31" s="108" t="n"/>
      <c r="G31" s="108" t="n"/>
      <c r="H31" s="108" t="n"/>
      <c r="I31" s="108" t="n"/>
    </row>
    <row r="32" ht="28" customHeight="1">
      <c r="A32" s="111" t="inlineStr">
        <is>
          <t>&gt;1,090</t>
        </is>
      </c>
      <c r="B32" s="112" t="n">
        <v>1700</v>
      </c>
      <c r="C32" s="113" t="n">
        <v>0.19</v>
      </c>
      <c r="D32" s="25" t="inlineStr">
        <is>
          <t>(Base gravable en UVT menos 1.090 UVT) X 19%</t>
        </is>
      </c>
      <c r="E32" s="1124">
        <f>IF(E25&gt;1090,(IF(E25&lt;=1700,ROUND((((+E25-1090)*19%)*E2),-3),0)),0)</f>
        <v/>
      </c>
      <c r="F32" s="108" t="n"/>
      <c r="G32" s="108" t="n"/>
      <c r="H32" s="108" t="n"/>
      <c r="I32" s="108" t="n"/>
    </row>
    <row r="33" ht="42" customHeight="1">
      <c r="A33" s="111" t="inlineStr">
        <is>
          <t>&gt;1,700</t>
        </is>
      </c>
      <c r="B33" s="112" t="n">
        <v>4100</v>
      </c>
      <c r="C33" s="113" t="n">
        <v>0.28</v>
      </c>
      <c r="D33" s="25" t="inlineStr">
        <is>
          <t>(Base gravable en UVT menos 1.700 UVT) X 28% + 116 UVT</t>
        </is>
      </c>
      <c r="E33" s="1125">
        <f>IF(E25&gt;1700,IF(E25&lt;=4100,ROUND((((+E25-1700)*28%)*E2)+(116*E2),-3),0),0)</f>
        <v/>
      </c>
      <c r="F33" s="108" t="n"/>
      <c r="G33" s="108" t="n"/>
      <c r="H33" s="108" t="n"/>
      <c r="I33" s="108" t="n"/>
    </row>
    <row r="34" ht="42" customHeight="1">
      <c r="A34" s="111" t="inlineStr">
        <is>
          <t>&gt;4,100</t>
        </is>
      </c>
      <c r="B34" s="112" t="inlineStr">
        <is>
          <t>En  adelante</t>
        </is>
      </c>
      <c r="C34" s="113" t="n">
        <v>0.33</v>
      </c>
      <c r="D34" s="25" t="inlineStr">
        <is>
          <t>(Base gravable en UVT menos 4.100 UVT) X 33% + 788 UVT</t>
        </is>
      </c>
      <c r="E34" s="1125">
        <f>IF(E25&gt;4100,ROUND((((+E25-4100)*33%)*E2)+(788*E2),-3),0)</f>
        <v/>
      </c>
      <c r="F34" s="108" t="n"/>
      <c r="G34" s="108" t="n"/>
      <c r="H34" s="108" t="n"/>
      <c r="I34" s="108" t="n"/>
    </row>
    <row r="35">
      <c r="A35" s="108" t="n"/>
      <c r="B35" s="108" t="n"/>
      <c r="C35" s="108" t="n"/>
      <c r="D35" s="108" t="n"/>
      <c r="E35" s="108" t="n"/>
      <c r="F35" s="108" t="n"/>
      <c r="G35" s="108" t="n"/>
      <c r="H35" s="108" t="n"/>
      <c r="I35" s="108" t="n"/>
    </row>
    <row r="36" ht="14" customHeight="1" thickBot="1"/>
    <row r="37" ht="17" customHeight="1" thickTop="1">
      <c r="A37" s="1126" t="inlineStr">
        <is>
          <t>Valor primera subcedula Renglón 107</t>
        </is>
      </c>
      <c r="B37" s="1127" t="n"/>
      <c r="C37" s="1127" t="n"/>
      <c r="D37" s="1128" t="n"/>
      <c r="E37" s="117">
        <f>'FORMULARIO 210'!J42</f>
        <v/>
      </c>
    </row>
    <row r="38" ht="16" customHeight="1">
      <c r="A38" s="1129" t="inlineStr">
        <is>
          <t>En UVT</t>
        </is>
      </c>
      <c r="B38" s="971" t="n"/>
      <c r="C38" s="971" t="n"/>
      <c r="D38" s="967" t="n"/>
      <c r="E38" s="32" t="n">
        <v>0</v>
      </c>
    </row>
    <row r="39" ht="17" customHeight="1" thickBot="1">
      <c r="A39" s="1130" t="inlineStr">
        <is>
          <t>Valor del impuesto en pesos</t>
        </is>
      </c>
      <c r="B39" s="1131" t="n"/>
      <c r="C39" s="1131" t="n"/>
      <c r="D39" s="1132" t="n"/>
      <c r="E39" s="1133">
        <f>ROUND(MAX(E43:E44),-3)</f>
        <v/>
      </c>
    </row>
    <row r="40" ht="14" customHeight="1" thickTop="1"/>
    <row r="41" ht="21" customHeight="1">
      <c r="A41" s="906" t="inlineStr">
        <is>
          <t>Rangos en UVT</t>
        </is>
      </c>
      <c r="B41" s="967" t="n"/>
      <c r="C41" s="907" t="inlineStr">
        <is>
          <t>Tarifa 
marginal</t>
        </is>
      </c>
      <c r="D41" s="906" t="inlineStr">
        <is>
          <t>Impuesto</t>
        </is>
      </c>
      <c r="E41" s="895" t="inlineStr">
        <is>
          <t>Determinación del impuesto de renta primera subcédula</t>
        </is>
      </c>
      <c r="F41" s="895" t="inlineStr">
        <is>
          <t>Determinación del impuesto de renta segunda subcédula</t>
        </is>
      </c>
    </row>
    <row r="42" ht="14" customHeight="1">
      <c r="A42" s="906" t="inlineStr">
        <is>
          <t xml:space="preserve">Desde </t>
        </is>
      </c>
      <c r="B42" s="907" t="inlineStr">
        <is>
          <t>Hasta</t>
        </is>
      </c>
      <c r="C42" s="970" t="n"/>
      <c r="D42" s="970" t="n"/>
      <c r="E42" s="970" t="n"/>
      <c r="F42" s="970" t="n"/>
    </row>
    <row r="43" ht="12.75" customHeight="1">
      <c r="A43" s="121" t="inlineStr">
        <is>
          <t>&gt;0</t>
        </is>
      </c>
      <c r="B43" s="112" t="n">
        <v>300</v>
      </c>
      <c r="C43" s="113" t="n">
        <v>0</v>
      </c>
      <c r="D43" s="112" t="n">
        <v>0</v>
      </c>
      <c r="E43" s="1134" t="n">
        <v>0</v>
      </c>
      <c r="F43" s="1134" t="n">
        <v>0</v>
      </c>
      <c r="I43" s="123" t="n"/>
    </row>
    <row r="44" ht="28.5" customHeight="1">
      <c r="A44" s="121" t="inlineStr">
        <is>
          <t>&gt;300</t>
        </is>
      </c>
      <c r="B44" s="112" t="inlineStr">
        <is>
          <t>en Adelante</t>
        </is>
      </c>
      <c r="C44" s="113" t="n">
        <v>0.1</v>
      </c>
      <c r="D44" s="124" t="inlineStr">
        <is>
          <t>(Dividendos en UVT menos 300 UVT) X 10%</t>
        </is>
      </c>
      <c r="E44" s="1135">
        <f>IF(E38&gt;300,((E38-300)*10%)*E2,0)</f>
        <v/>
      </c>
      <c r="F44" s="1135">
        <f>IF(E49&gt;300,((E49-300)*10%)*E2,0)</f>
        <v/>
      </c>
      <c r="I44" s="123" t="n"/>
    </row>
    <row r="45" ht="14" customHeight="1" thickBot="1"/>
    <row r="46" ht="17" customHeight="1" thickTop="1">
      <c r="A46" s="1136" t="inlineStr">
        <is>
          <t>Valor segunda subcédula (Renglones 108)</t>
        </is>
      </c>
      <c r="B46" s="1137" t="n"/>
      <c r="C46" s="1137" t="n"/>
      <c r="D46" s="1138" t="n"/>
      <c r="E46" s="126">
        <f>'FORMULARIO 210'!J43</f>
        <v/>
      </c>
    </row>
    <row r="47" ht="15.75" customHeight="1">
      <c r="A47" s="1139" t="inlineStr">
        <is>
          <t>Valor primera parte del impuesto 35%</t>
        </is>
      </c>
      <c r="B47" s="971" t="n"/>
      <c r="C47" s="971" t="n"/>
      <c r="D47" s="967" t="n"/>
      <c r="E47" s="33">
        <f>E46*0.35</f>
        <v/>
      </c>
    </row>
    <row r="48" ht="16" customHeight="1">
      <c r="A48" s="1139" t="inlineStr">
        <is>
          <t>Subtotal</t>
        </is>
      </c>
      <c r="B48" s="971" t="n"/>
      <c r="C48" s="971" t="n"/>
      <c r="D48" s="967" t="n"/>
      <c r="E48" s="33">
        <f>E46-E47</f>
        <v/>
      </c>
    </row>
    <row r="49" ht="16" customHeight="1">
      <c r="A49" s="1139" t="inlineStr">
        <is>
          <t>En UVT</t>
        </is>
      </c>
      <c r="B49" s="971" t="n"/>
      <c r="C49" s="971" t="n"/>
      <c r="D49" s="967" t="n"/>
      <c r="E49" s="33" t="n">
        <v>0</v>
      </c>
    </row>
    <row r="50" ht="15.75" customHeight="1">
      <c r="A50" s="1139" t="inlineStr">
        <is>
          <t>Valor segunda parte del impuesto</t>
        </is>
      </c>
      <c r="B50" s="971" t="n"/>
      <c r="C50" s="971" t="n"/>
      <c r="D50" s="967" t="n"/>
      <c r="E50" s="127" t="n">
        <v>0</v>
      </c>
    </row>
    <row r="51" ht="12.75" customHeight="1" thickBot="1">
      <c r="A51" s="1140" t="inlineStr">
        <is>
          <t xml:space="preserve">Valor total impuesto segunda subcédula </t>
        </is>
      </c>
      <c r="B51" s="1141" t="n"/>
      <c r="C51" s="1141" t="n"/>
      <c r="D51" s="1142" t="n"/>
      <c r="E51" s="34">
        <f>ROUND((E50+E47),-3)</f>
        <v/>
      </c>
    </row>
    <row r="52" ht="12.75" customHeight="1" thickTop="1"/>
  </sheetData>
  <mergeCells count="33">
    <mergeCell ref="A17:D17"/>
    <mergeCell ref="A38:D38"/>
    <mergeCell ref="C29:C30"/>
    <mergeCell ref="E29:E30"/>
    <mergeCell ref="G7:G8"/>
    <mergeCell ref="I7:I8"/>
    <mergeCell ref="A7:B7"/>
    <mergeCell ref="A41:B41"/>
    <mergeCell ref="A48:D48"/>
    <mergeCell ref="A23:F23"/>
    <mergeCell ref="A39:D39"/>
    <mergeCell ref="C41:C42"/>
    <mergeCell ref="D41:D42"/>
    <mergeCell ref="H7:H8"/>
    <mergeCell ref="A24:D24"/>
    <mergeCell ref="F41:F42"/>
    <mergeCell ref="J7:J8"/>
    <mergeCell ref="A51:D51"/>
    <mergeCell ref="A49:D49"/>
    <mergeCell ref="E7:E8"/>
    <mergeCell ref="A25:D25"/>
    <mergeCell ref="E41:E42"/>
    <mergeCell ref="A46:D46"/>
    <mergeCell ref="D29:D30"/>
    <mergeCell ref="A37:D37"/>
    <mergeCell ref="A18:D18"/>
    <mergeCell ref="C7:D7"/>
    <mergeCell ref="A29:B29"/>
    <mergeCell ref="A50:D50"/>
    <mergeCell ref="A26:D26"/>
    <mergeCell ref="F7:F8"/>
    <mergeCell ref="A2:D2"/>
    <mergeCell ref="A47:D47"/>
  </mergeCells>
  <hyperlinks>
    <hyperlink ref="E26" location="'210'!AO23" display="'210'!AO23"/>
    <hyperlink ref="E39" location="'210'!AO24" display="'210'!AO24"/>
    <hyperlink ref="E51" location="'210'!AO25" display="'210'!AO25"/>
  </hyperlinks>
  <printOptions horizontalCentered="1" verticalCentered="1"/>
  <pageMargins left="0" right="0" top="0" bottom="0" header="0" footer="0"/>
  <pageSetup orientation="portrait" scale="45" horizontalDpi="300" verticalDpi="300"/>
</worksheet>
</file>

<file path=xl/worksheets/sheet23.xml><?xml version="1.0" encoding="utf-8"?>
<worksheet xmlns="http://schemas.openxmlformats.org/spreadsheetml/2006/main">
  <sheetPr codeName="Hoja14">
    <tabColor rgb="FF0070C0"/>
    <outlinePr summaryBelow="1" summaryRight="1"/>
    <pageSetUpPr/>
  </sheetPr>
  <dimension ref="B1:E23"/>
  <sheetViews>
    <sheetView showGridLines="0" zoomScale="170" zoomScaleNormal="170" zoomScaleSheetLayoutView="150" workbookViewId="0">
      <pane ySplit="1" topLeftCell="A2" activePane="bottomLeft" state="frozen"/>
      <selection pane="bottomLeft" activeCell="E15" sqref="E15"/>
    </sheetView>
  </sheetViews>
  <sheetFormatPr baseColWidth="10" defaultColWidth="0" defaultRowHeight="16"/>
  <cols>
    <col width="5.83203125" customWidth="1" style="72" min="1" max="1"/>
    <col width="47.5" customWidth="1" style="72" min="2" max="2"/>
    <col width="22.1640625" customWidth="1" style="72" min="3" max="4"/>
    <col width="19.5" customWidth="1" style="75" min="5" max="5"/>
    <col width="19" customWidth="1" style="72" min="6" max="6"/>
    <col width="11.5" customWidth="1" style="72" min="7" max="7"/>
    <col hidden="1" width="13" customWidth="1" style="72" min="8" max="8"/>
    <col hidden="1" width="11.5" customWidth="1" style="72" min="9" max="16384"/>
  </cols>
  <sheetData>
    <row r="1">
      <c r="B1" s="938" t="n"/>
      <c r="C1" s="964" t="n"/>
      <c r="D1" s="964" t="n"/>
      <c r="E1" s="965" t="n"/>
    </row>
    <row r="2">
      <c r="B2" s="943" t="inlineStr">
        <is>
          <t>Por impuesto Pagados en el Exterior</t>
        </is>
      </c>
      <c r="C2" s="971" t="n"/>
      <c r="D2" s="967" t="n"/>
      <c r="E2" s="791">
        <f>ROUND(SUM(D3:D5),-3)</f>
        <v/>
      </c>
    </row>
    <row r="3">
      <c r="B3" s="785" t="n"/>
      <c r="C3" s="997" t="n"/>
      <c r="D3" s="200" t="n"/>
      <c r="E3" s="237" t="n"/>
    </row>
    <row r="4">
      <c r="B4" s="785" t="n"/>
      <c r="C4" s="997" t="n"/>
      <c r="D4" s="200" t="n"/>
      <c r="E4" s="237" t="n"/>
    </row>
    <row r="5">
      <c r="B5" s="785" t="n"/>
      <c r="C5" s="997" t="n"/>
      <c r="D5" s="200" t="n"/>
      <c r="E5" s="970" t="n"/>
    </row>
    <row r="6">
      <c r="B6" s="942" t="inlineStr">
        <is>
          <t>Por Donaciones</t>
        </is>
      </c>
      <c r="C6" s="971" t="n"/>
      <c r="D6" s="971" t="n"/>
      <c r="E6" s="1143">
        <f>ROUND(SUM(D7:D9),-3)</f>
        <v/>
      </c>
    </row>
    <row r="7">
      <c r="B7" s="227" t="n"/>
      <c r="C7" s="200" t="n"/>
      <c r="D7" s="66">
        <f>C7*0.25</f>
        <v/>
      </c>
      <c r="E7" s="962" t="n"/>
    </row>
    <row r="8">
      <c r="B8" s="227" t="n"/>
      <c r="C8" s="200" t="n"/>
      <c r="D8" s="66">
        <f>C8*0.25</f>
        <v/>
      </c>
      <c r="E8" s="962" t="n"/>
    </row>
    <row r="9">
      <c r="B9" s="227" t="n"/>
      <c r="C9" s="200" t="n"/>
      <c r="D9" s="66">
        <f>C9*0.25</f>
        <v/>
      </c>
      <c r="E9" s="965" t="n"/>
    </row>
    <row r="10">
      <c r="B10" s="1144" t="inlineStr">
        <is>
          <t>Otros descuentos tributarios</t>
        </is>
      </c>
      <c r="C10" s="971" t="n"/>
      <c r="D10" s="967" t="n"/>
      <c r="E10" s="791">
        <f>ROUND(SUM(D11:D13),-3)</f>
        <v/>
      </c>
    </row>
    <row r="11">
      <c r="B11" s="785" t="n"/>
      <c r="C11" s="997" t="n"/>
      <c r="D11" s="200" t="n"/>
      <c r="E11" s="237" t="n"/>
    </row>
    <row r="12">
      <c r="B12" s="785" t="n"/>
      <c r="C12" s="997" t="n"/>
      <c r="D12" s="200" t="n"/>
      <c r="E12" s="237" t="n"/>
    </row>
    <row r="13" ht="16.5" customHeight="1">
      <c r="B13" s="785" t="n"/>
      <c r="C13" s="997" t="n"/>
      <c r="D13" s="200" t="n"/>
      <c r="E13" s="970" t="n"/>
    </row>
    <row r="14" ht="16.5" customHeight="1">
      <c r="B14" s="1144" t="inlineStr">
        <is>
          <t>Descuento dividendos</t>
        </is>
      </c>
      <c r="C14" s="971" t="n"/>
      <c r="D14" s="967" t="n"/>
      <c r="E14" s="791" t="n"/>
    </row>
    <row r="15" ht="16.5" customHeight="1">
      <c r="B15" s="785" t="inlineStr">
        <is>
          <t>Por dividendos no gravados y exceso sobre los gravados 2017 y siguientes</t>
        </is>
      </c>
      <c r="C15" s="996" t="n"/>
      <c r="D15" s="997" t="n"/>
      <c r="E15" s="354">
        <f>MAX(0,ROUND((((('C divid.'!F17+'C divid.'!F25-'FORMULARIO 210'!Y36)/'impto renta'!E2)-1090)*19%)*'impto renta'!E2,-3))</f>
        <v/>
      </c>
    </row>
    <row r="16" ht="16.5" customHeight="1">
      <c r="B16" s="1026" t="n"/>
      <c r="C16" s="996" t="n"/>
      <c r="D16" s="997" t="n"/>
      <c r="E16" s="791" t="n"/>
    </row>
    <row r="17" ht="16.5" customHeight="1">
      <c r="B17" s="1026" t="n"/>
      <c r="C17" s="996" t="n"/>
      <c r="D17" s="997" t="n"/>
      <c r="E17" s="791" t="n"/>
    </row>
    <row r="18" ht="16.5" customHeight="1">
      <c r="B18" s="1026" t="n"/>
      <c r="C18" s="996" t="n"/>
      <c r="D18" s="997" t="n"/>
      <c r="E18" s="791" t="n"/>
    </row>
    <row r="20">
      <c r="B20" s="1145" t="inlineStr">
        <is>
          <t>Descuento por impuestos pagados en el exterior por  ganancias ocasionales</t>
        </is>
      </c>
      <c r="C20" s="971" t="n"/>
      <c r="D20" s="967" t="n"/>
      <c r="E20" s="791">
        <f>ROUND(SUM(D21:D23),-3)</f>
        <v/>
      </c>
    </row>
    <row r="21">
      <c r="B21" s="785" t="n"/>
      <c r="C21" s="997" t="n"/>
      <c r="D21" s="200" t="n"/>
      <c r="E21" s="237" t="n"/>
    </row>
    <row r="22">
      <c r="B22" s="785" t="n"/>
      <c r="C22" s="997" t="n"/>
      <c r="D22" s="200" t="n"/>
      <c r="E22" s="237" t="n"/>
    </row>
    <row r="23">
      <c r="B23" s="785" t="n"/>
      <c r="C23" s="997" t="n"/>
      <c r="D23" s="200" t="n"/>
      <c r="E23" s="970" t="n"/>
    </row>
  </sheetData>
  <mergeCells count="23">
    <mergeCell ref="B14:D14"/>
    <mergeCell ref="B3:C3"/>
    <mergeCell ref="B17:D17"/>
    <mergeCell ref="B22:C22"/>
    <mergeCell ref="E20:E23"/>
    <mergeCell ref="B12:C12"/>
    <mergeCell ref="B10:D10"/>
    <mergeCell ref="E10:E13"/>
    <mergeCell ref="B21:C21"/>
    <mergeCell ref="B11:C11"/>
    <mergeCell ref="B23:C23"/>
    <mergeCell ref="E6:E9"/>
    <mergeCell ref="B15:D15"/>
    <mergeCell ref="B6:D6"/>
    <mergeCell ref="B20:D20"/>
    <mergeCell ref="B13:C13"/>
    <mergeCell ref="E2:E5"/>
    <mergeCell ref="B16:D16"/>
    <mergeCell ref="B1:E1"/>
    <mergeCell ref="B5:C5"/>
    <mergeCell ref="B18:D18"/>
    <mergeCell ref="B4:C4"/>
    <mergeCell ref="B2:D2"/>
  </mergeCells>
  <pageMargins left="0.7" right="0.7" top="0.75" bottom="0.75" header="0.3" footer="0.3"/>
  <pageSetup orientation="portrait" scale="73"/>
</worksheet>
</file>

<file path=xl/worksheets/sheet24.xml><?xml version="1.0" encoding="utf-8"?>
<worksheet xmlns="http://schemas.openxmlformats.org/spreadsheetml/2006/main">
  <sheetPr codeName="Hoja16">
    <tabColor rgb="FF0070C0"/>
    <outlinePr summaryBelow="1" summaryRight="1"/>
    <pageSetUpPr/>
  </sheetPr>
  <dimension ref="B1:E36"/>
  <sheetViews>
    <sheetView showGridLines="0" defaultGridColor="0" colorId="57" zoomScale="240" zoomScaleNormal="240" zoomScaleSheetLayoutView="243" workbookViewId="0">
      <pane ySplit="1" topLeftCell="A9" activePane="bottomLeft" state="frozen"/>
      <selection activeCell="C28" sqref="C28"/>
      <selection pane="bottomLeft" activeCell="D3" sqref="D3:D9"/>
    </sheetView>
  </sheetViews>
  <sheetFormatPr baseColWidth="10" defaultColWidth="0" defaultRowHeight="16" zeroHeight="1"/>
  <cols>
    <col width="2.5" customWidth="1" style="2" min="1" max="2"/>
    <col width="37.5" customWidth="1" style="2" min="3" max="3"/>
    <col width="15.5" customWidth="1" style="2" min="4" max="4"/>
    <col width="14.1640625" customWidth="1" style="2" min="5" max="5"/>
    <col width="6.83203125" customWidth="1" style="2" min="6" max="8"/>
    <col hidden="1" width="14.1640625" customWidth="1" style="2" min="9" max="16384"/>
  </cols>
  <sheetData>
    <row r="1" ht="15.75" customHeight="1">
      <c r="B1" s="944" t="inlineStr">
        <is>
          <t>RETENCIONES EN LA FUENTE QUE LE PRACTICARON</t>
        </is>
      </c>
      <c r="C1" s="971" t="n"/>
      <c r="D1" s="971" t="n"/>
      <c r="E1" s="967" t="n"/>
    </row>
    <row r="2" ht="15.75" customHeight="1">
      <c r="B2" s="40" t="n"/>
      <c r="C2" s="40" t="inlineStr">
        <is>
          <t>Agente retenedor</t>
        </is>
      </c>
      <c r="D2" s="40" t="inlineStr">
        <is>
          <t>Valor</t>
        </is>
      </c>
      <c r="E2" s="944" t="inlineStr">
        <is>
          <t>Total</t>
        </is>
      </c>
    </row>
    <row r="3">
      <c r="B3" s="945" t="inlineStr">
        <is>
          <t>Renglón 133</t>
        </is>
      </c>
      <c r="C3" s="41" t="n"/>
      <c r="D3" s="175" t="n"/>
      <c r="E3" s="801">
        <f>ROUND(SUM(D3:D36),-3)</f>
        <v/>
      </c>
    </row>
    <row r="4" ht="17" customHeight="1">
      <c r="B4" s="237" t="n"/>
      <c r="C4" s="41" t="n"/>
      <c r="D4" s="176" t="n"/>
      <c r="E4" s="237" t="n"/>
    </row>
    <row r="5" ht="17" customHeight="1">
      <c r="B5" s="237" t="n"/>
      <c r="C5" s="41" t="n"/>
      <c r="D5" s="176" t="n"/>
      <c r="E5" s="237" t="n"/>
    </row>
    <row r="6" ht="15" customHeight="1">
      <c r="B6" s="237" t="n"/>
      <c r="C6" s="42" t="n"/>
      <c r="D6" s="176" t="n"/>
      <c r="E6" s="237" t="n"/>
    </row>
    <row r="7" ht="16.5" customHeight="1">
      <c r="B7" s="237" t="n"/>
      <c r="C7" s="42" t="n"/>
      <c r="D7" s="176" t="n"/>
      <c r="E7" s="237" t="n"/>
    </row>
    <row r="8" ht="16.5" customHeight="1">
      <c r="B8" s="237" t="n"/>
      <c r="C8" s="42" t="n"/>
      <c r="D8" s="176" t="n"/>
      <c r="E8" s="237" t="n"/>
    </row>
    <row r="9" ht="16.5" customHeight="1">
      <c r="B9" s="237" t="n"/>
      <c r="C9" s="42" t="n"/>
      <c r="D9" s="176" t="n"/>
      <c r="E9" s="237" t="n"/>
    </row>
    <row r="10" ht="16.5" customHeight="1">
      <c r="B10" s="237" t="n"/>
      <c r="C10" s="42" t="n"/>
      <c r="D10" s="176" t="n"/>
      <c r="E10" s="237" t="n"/>
    </row>
    <row r="11" ht="16.5" customHeight="1">
      <c r="B11" s="237" t="n"/>
      <c r="C11" s="42" t="n"/>
      <c r="D11" s="176" t="n"/>
      <c r="E11" s="237" t="n"/>
    </row>
    <row r="12" ht="16.5" customHeight="1">
      <c r="B12" s="237" t="n"/>
      <c r="C12" s="42" t="n"/>
      <c r="D12" s="176" t="n"/>
      <c r="E12" s="237" t="n"/>
    </row>
    <row r="13" ht="16.5" customHeight="1">
      <c r="B13" s="237" t="n"/>
      <c r="C13" s="42" t="n"/>
      <c r="D13" s="176" t="n"/>
      <c r="E13" s="237" t="n"/>
    </row>
    <row r="14" ht="16.5" customHeight="1">
      <c r="B14" s="237" t="n"/>
      <c r="C14" s="42" t="n"/>
      <c r="D14" s="176" t="n"/>
      <c r="E14" s="237" t="n"/>
    </row>
    <row r="15" ht="16.5" customHeight="1">
      <c r="B15" s="237" t="n"/>
      <c r="C15" s="42" t="n"/>
      <c r="D15" s="176" t="n"/>
      <c r="E15" s="237" t="n"/>
    </row>
    <row r="16" ht="16.5" customHeight="1">
      <c r="B16" s="237" t="n"/>
      <c r="C16" s="42" t="n"/>
      <c r="D16" s="176" t="n"/>
      <c r="E16" s="237" t="n"/>
    </row>
    <row r="17" ht="16.5" customHeight="1">
      <c r="B17" s="237" t="n"/>
      <c r="C17" s="42" t="n"/>
      <c r="D17" s="176" t="n"/>
      <c r="E17" s="237" t="n"/>
    </row>
    <row r="18" ht="16.5" customHeight="1">
      <c r="B18" s="237" t="n"/>
      <c r="C18" s="42" t="n"/>
      <c r="D18" s="176" t="n"/>
      <c r="E18" s="237" t="n"/>
    </row>
    <row r="19" ht="16.5" customHeight="1">
      <c r="B19" s="237" t="n"/>
      <c r="C19" s="42" t="n"/>
      <c r="D19" s="176" t="n"/>
      <c r="E19" s="237" t="n"/>
    </row>
    <row r="20" ht="16.5" customHeight="1">
      <c r="B20" s="237" t="n"/>
      <c r="C20" s="42" t="n"/>
      <c r="D20" s="181" t="n"/>
      <c r="E20" s="237" t="n"/>
    </row>
    <row r="21" ht="16.5" customHeight="1">
      <c r="B21" s="237" t="n"/>
      <c r="C21" s="42" t="n"/>
      <c r="D21" s="181" t="n"/>
      <c r="E21" s="237" t="n"/>
    </row>
    <row r="22" ht="16.5" customHeight="1">
      <c r="B22" s="237" t="n"/>
      <c r="C22" s="42" t="n"/>
      <c r="D22" s="181" t="n"/>
      <c r="E22" s="237" t="n"/>
    </row>
    <row r="23" ht="16.5" customHeight="1">
      <c r="B23" s="237" t="n"/>
      <c r="C23" s="42" t="n"/>
      <c r="D23" s="181" t="n"/>
      <c r="E23" s="237" t="n"/>
    </row>
    <row r="24" ht="16.5" customHeight="1">
      <c r="B24" s="237" t="n"/>
      <c r="C24" s="42" t="n"/>
      <c r="D24" s="181" t="n"/>
      <c r="E24" s="237" t="n"/>
    </row>
    <row r="25" ht="16.5" customHeight="1">
      <c r="B25" s="237" t="n"/>
      <c r="C25" s="42" t="n"/>
      <c r="D25" s="181" t="n"/>
      <c r="E25" s="237" t="n"/>
    </row>
    <row r="26" ht="16.5" customHeight="1">
      <c r="B26" s="237" t="n"/>
      <c r="C26" s="42" t="n"/>
      <c r="D26" s="181" t="n"/>
      <c r="E26" s="237" t="n"/>
    </row>
    <row r="27" ht="16.5" customHeight="1">
      <c r="B27" s="237" t="n"/>
      <c r="C27" s="42" t="n"/>
      <c r="D27" s="181" t="n"/>
      <c r="E27" s="237" t="n"/>
    </row>
    <row r="28" ht="16.5" customHeight="1">
      <c r="B28" s="237" t="n"/>
      <c r="C28" s="42" t="n"/>
      <c r="D28" s="181" t="n"/>
      <c r="E28" s="237" t="n"/>
    </row>
    <row r="29" ht="16.5" customHeight="1">
      <c r="B29" s="237" t="n"/>
      <c r="C29" s="42" t="n"/>
      <c r="D29" s="175" t="n"/>
      <c r="E29" s="237" t="n"/>
    </row>
    <row r="30" ht="16.5" customHeight="1">
      <c r="B30" s="237" t="n"/>
      <c r="C30" s="42" t="n"/>
      <c r="D30" s="175" t="n"/>
      <c r="E30" s="237" t="n"/>
    </row>
    <row r="31" ht="16.5" customHeight="1">
      <c r="B31" s="237" t="n"/>
      <c r="C31" s="42" t="n"/>
      <c r="D31" s="175" t="n"/>
      <c r="E31" s="237" t="n"/>
    </row>
    <row r="32" ht="16.5" customHeight="1">
      <c r="B32" s="237" t="n"/>
      <c r="C32" s="42" t="n"/>
      <c r="D32" s="175" t="n"/>
      <c r="E32" s="237" t="n"/>
    </row>
    <row r="33" ht="16.5" customHeight="1">
      <c r="B33" s="237" t="n"/>
      <c r="C33" s="42" t="n"/>
      <c r="D33" s="175" t="n"/>
      <c r="E33" s="237" t="n"/>
    </row>
    <row r="34" ht="16.5" customHeight="1">
      <c r="B34" s="237" t="n"/>
      <c r="C34" s="42" t="n"/>
      <c r="D34" s="175" t="n"/>
      <c r="E34" s="237" t="n"/>
    </row>
    <row r="35" ht="16.5" customHeight="1">
      <c r="B35" s="237" t="n"/>
      <c r="C35" s="42" t="n"/>
      <c r="D35" s="175" t="n"/>
      <c r="E35" s="237" t="n"/>
    </row>
    <row r="36" ht="16.5" customHeight="1">
      <c r="B36" s="970" t="n"/>
      <c r="C36" s="39" t="n"/>
      <c r="D36" s="175" t="n"/>
      <c r="E36" s="970" t="n"/>
    </row>
  </sheetData>
  <mergeCells count="3">
    <mergeCell ref="B3:B36"/>
    <mergeCell ref="B1:E1"/>
    <mergeCell ref="E3:E36"/>
  </mergeCells>
  <hyperlinks>
    <hyperlink ref="B3" location="'FORMULARIO 210'!Y50" display="Renglón 133"/>
  </hyperlinks>
  <printOptions horizontalCentered="1" verticalCentered="1"/>
  <pageMargins left="0" right="0" top="0" bottom="0" header="0" footer="0"/>
  <pageSetup orientation="landscape" horizontalDpi="300" verticalDpi="300"/>
</worksheet>
</file>

<file path=xl/worksheets/sheet25.xml><?xml version="1.0" encoding="utf-8"?>
<worksheet xmlns="http://schemas.openxmlformats.org/spreadsheetml/2006/main">
  <sheetPr codeName="Hoja17">
    <tabColor rgb="FF0070C0"/>
    <outlinePr summaryBelow="1" summaryRight="1"/>
    <pageSetUpPr/>
  </sheetPr>
  <dimension ref="B1:H40"/>
  <sheetViews>
    <sheetView showGridLines="0" zoomScale="160" zoomScaleNormal="160" zoomScaleSheetLayoutView="157" workbookViewId="0">
      <pane ySplit="1" topLeftCell="A23" activePane="bottomLeft" state="frozen"/>
      <selection activeCell="C28" sqref="C28"/>
      <selection pane="bottomLeft" activeCell="E40" sqref="E40"/>
    </sheetView>
  </sheetViews>
  <sheetFormatPr baseColWidth="10" defaultColWidth="0" defaultRowHeight="16" zeroHeight="1"/>
  <cols>
    <col width="6.5" customWidth="1" style="69" min="1" max="1"/>
    <col width="4" customWidth="1" style="69" min="2" max="2"/>
    <col width="3.5" customWidth="1" style="69" min="3" max="3"/>
    <col width="96.5" customWidth="1" style="69" min="4" max="4"/>
    <col width="15.5" bestFit="1" customWidth="1" style="72" min="5" max="5"/>
    <col width="5.33203125" customWidth="1" style="69" min="6" max="8"/>
    <col hidden="1" width="11.5" customWidth="1" style="69" min="9" max="16384"/>
  </cols>
  <sheetData>
    <row r="1" ht="15.75" customHeight="1">
      <c r="B1" s="944" t="inlineStr">
        <is>
          <t>CÁLCULO DEL ANTICIPO DE RENTA POR EL AÑO GRAVABLE 2025</t>
        </is>
      </c>
      <c r="C1" s="971" t="n"/>
      <c r="D1" s="971" t="n"/>
      <c r="E1" s="967" t="n"/>
    </row>
    <row r="2" ht="15.75" customHeight="1">
      <c r="B2" s="132" t="n"/>
      <c r="C2" s="439" t="n"/>
      <c r="D2" s="439" t="n"/>
      <c r="E2" s="440" t="n"/>
    </row>
    <row r="3" ht="15.75" customHeight="1">
      <c r="B3" s="132" t="n"/>
      <c r="C3" s="444" t="inlineStr">
        <is>
          <t>Registre el valor del saldo a favor no solicitado en devolución casilla 138 declaración renta 2024</t>
        </is>
      </c>
      <c r="D3" s="971" t="n"/>
      <c r="E3" s="258" t="n">
        <v>0</v>
      </c>
    </row>
    <row r="4" ht="15.75" customHeight="1">
      <c r="B4" s="132" t="n"/>
      <c r="C4" s="444" t="inlineStr">
        <is>
          <t>Registre el valor del anticipo para la renta 2025, registrado en la casilla 134 declaración renta año 2024</t>
        </is>
      </c>
      <c r="D4" s="971" t="n"/>
      <c r="E4" s="258" t="n">
        <v>0</v>
      </c>
    </row>
    <row r="5" ht="15.75" customHeight="1">
      <c r="B5" s="449" t="inlineStr">
        <is>
          <t>Renglón 134</t>
        </is>
      </c>
      <c r="C5" s="444" t="inlineStr">
        <is>
          <t>Registre el valor del impuesto neto de renta registrado en la casilla 127 declaración renta año 2024</t>
        </is>
      </c>
      <c r="D5" s="971" t="n"/>
      <c r="E5" s="258" t="n">
        <v>0</v>
      </c>
    </row>
    <row r="6" ht="30.75" customHeight="1">
      <c r="B6" s="961" t="n"/>
      <c r="C6" s="1146" t="inlineStr">
        <is>
          <t>Para el anticipo digite: 1 declaración por primera vez; 2 declaración por segunda vez; 3 declara por tercera y siguientes años; 4 declaración del año corriente es la última que presenta.</t>
        </is>
      </c>
      <c r="D6" s="967" t="n"/>
      <c r="E6" s="259" t="n">
        <v>3</v>
      </c>
    </row>
    <row r="7">
      <c r="B7" s="961" t="n"/>
      <c r="C7" s="443" t="inlineStr">
        <is>
          <t>Primer año</t>
        </is>
      </c>
      <c r="D7" s="24" t="inlineStr">
        <is>
          <t>Impuesto neto de renta año corriente</t>
        </is>
      </c>
      <c r="E7" s="79">
        <f t="array" ref="E7:H7">'FORMULARIO 210'!Y42:AB42</f>
        <v/>
      </c>
      <c r="F7" s="69" t="n">
        <v>0</v>
      </c>
      <c r="G7" s="69" t="n">
        <v>0</v>
      </c>
      <c r="H7" s="69" t="n">
        <v>0</v>
      </c>
    </row>
    <row r="8">
      <c r="B8" s="961" t="n"/>
      <c r="C8" s="962" t="n"/>
      <c r="D8" s="83" t="n">
        <v>0.25</v>
      </c>
      <c r="E8" s="79">
        <f>ROUND(+E7*D8,-3)</f>
        <v/>
      </c>
    </row>
    <row r="9">
      <c r="B9" s="961" t="n"/>
      <c r="C9" s="962" t="n"/>
      <c r="D9" s="24" t="inlineStr">
        <is>
          <t>Menos: retenciones en la fuente</t>
        </is>
      </c>
      <c r="E9" s="79">
        <f>retefuente!E3</f>
        <v/>
      </c>
    </row>
    <row r="10">
      <c r="B10" s="961" t="n"/>
      <c r="C10" s="965" t="n"/>
      <c r="D10" s="43" t="inlineStr">
        <is>
          <t>Total anticipo para el año 2026</t>
        </is>
      </c>
      <c r="E10" s="82">
        <f>IF(E6=1,IF(E8-E9&gt;0,E8-E9,0),0)</f>
        <v/>
      </c>
    </row>
    <row r="11">
      <c r="B11" s="961" t="n"/>
      <c r="C11" s="443" t="inlineStr">
        <is>
          <t>Segundo año</t>
        </is>
      </c>
      <c r="D11" s="1147" t="inlineStr">
        <is>
          <t>1) Método del promedio</t>
        </is>
      </c>
      <c r="E11" s="967" t="n"/>
    </row>
    <row r="12">
      <c r="B12" s="961" t="n"/>
      <c r="C12" s="962" t="n"/>
      <c r="D12" s="24" t="inlineStr">
        <is>
          <t>Impuesto neto de renta año anterior</t>
        </is>
      </c>
      <c r="E12" s="79">
        <f>+E5</f>
        <v/>
      </c>
    </row>
    <row r="13">
      <c r="B13" s="961" t="n"/>
      <c r="C13" s="962" t="n"/>
      <c r="D13" s="24">
        <f>D7</f>
        <v/>
      </c>
      <c r="E13" s="79">
        <f>+E7</f>
        <v/>
      </c>
    </row>
    <row r="14">
      <c r="B14" s="961" t="n"/>
      <c r="C14" s="962" t="n"/>
      <c r="D14" s="84" t="inlineStr">
        <is>
          <t>Subtotal</t>
        </is>
      </c>
      <c r="E14" s="80">
        <f>+E12+E13</f>
        <v/>
      </c>
    </row>
    <row r="15">
      <c r="B15" s="961" t="n"/>
      <c r="C15" s="962" t="n"/>
      <c r="D15" s="84" t="inlineStr">
        <is>
          <t>Promedio</t>
        </is>
      </c>
      <c r="E15" s="80">
        <f>ROUND(+E14/2,-3)</f>
        <v/>
      </c>
    </row>
    <row r="16">
      <c r="B16" s="961" t="n"/>
      <c r="C16" s="962" t="n"/>
      <c r="D16" s="83" t="n">
        <v>0.5</v>
      </c>
      <c r="E16" s="79">
        <f>ROUND(+E15*D16,-3)</f>
        <v/>
      </c>
    </row>
    <row r="17">
      <c r="B17" s="961" t="n"/>
      <c r="C17" s="962" t="n"/>
      <c r="D17" s="85" t="inlineStr">
        <is>
          <t>Menos: Retenciones en la fuente</t>
        </is>
      </c>
      <c r="E17" s="79">
        <f>+E9</f>
        <v/>
      </c>
    </row>
    <row r="18">
      <c r="B18" s="961" t="n"/>
      <c r="C18" s="962" t="n"/>
      <c r="D18" s="86" t="inlineStr">
        <is>
          <t>Anticipo método del promedio</t>
        </is>
      </c>
      <c r="E18" s="80">
        <f>IF(E6=2,IF(E16-E17&gt;0,E16-E17,0),0)</f>
        <v/>
      </c>
    </row>
    <row r="19">
      <c r="B19" s="961" t="n"/>
      <c r="C19" s="962" t="n"/>
      <c r="D19" s="1147" t="inlineStr">
        <is>
          <t>2) Método directo</t>
        </is>
      </c>
      <c r="E19" s="967" t="n"/>
    </row>
    <row r="20">
      <c r="B20" s="961" t="n"/>
      <c r="C20" s="962" t="n"/>
      <c r="D20" s="24">
        <f>D13</f>
        <v/>
      </c>
      <c r="E20" s="79">
        <f>+E7</f>
        <v/>
      </c>
    </row>
    <row r="21">
      <c r="B21" s="961" t="n"/>
      <c r="C21" s="962" t="n"/>
      <c r="D21" s="83" t="n">
        <v>0.5</v>
      </c>
      <c r="E21" s="79">
        <f>ROUND(+E20*D21,-3)</f>
        <v/>
      </c>
    </row>
    <row r="22">
      <c r="B22" s="961" t="n"/>
      <c r="C22" s="962" t="n"/>
      <c r="D22" s="24" t="inlineStr">
        <is>
          <t>Menos: retenciones en la fuente</t>
        </is>
      </c>
      <c r="E22" s="79">
        <f>+E9</f>
        <v/>
      </c>
    </row>
    <row r="23">
      <c r="B23" s="961" t="n"/>
      <c r="C23" s="962" t="n"/>
      <c r="D23" s="86" t="inlineStr">
        <is>
          <t>Anticipo método directo</t>
        </is>
      </c>
      <c r="E23" s="80">
        <f>IF(E6=2,IF(E21-E22&gt;0,E21-E22,0),0)</f>
        <v/>
      </c>
    </row>
    <row r="24">
      <c r="B24" s="961" t="n"/>
      <c r="C24" s="965" t="n"/>
      <c r="D24" s="76" t="inlineStr">
        <is>
          <t>Total anticipo para el año 2026</t>
        </is>
      </c>
      <c r="E24" s="81">
        <f>IF(E18&gt;E23,E23,E18)</f>
        <v/>
      </c>
    </row>
    <row r="25" hidden="1">
      <c r="B25" s="961" t="n"/>
      <c r="C25" s="443" t="inlineStr">
        <is>
          <t>Tercer y siguientes años</t>
        </is>
      </c>
      <c r="D25" s="86" t="inlineStr">
        <is>
          <t>1) Método del promedio</t>
        </is>
      </c>
      <c r="E25" s="44" t="n"/>
    </row>
    <row r="26">
      <c r="B26" s="961" t="n"/>
      <c r="C26" s="962" t="n"/>
      <c r="D26" s="24" t="inlineStr">
        <is>
          <t>Impuesto neto de renta año anterior</t>
        </is>
      </c>
      <c r="E26" s="79">
        <f>+E5</f>
        <v/>
      </c>
    </row>
    <row r="27">
      <c r="B27" s="961" t="n"/>
      <c r="C27" s="962" t="n"/>
      <c r="D27" s="24">
        <f>D20</f>
        <v/>
      </c>
      <c r="E27" s="79">
        <f>+E7</f>
        <v/>
      </c>
    </row>
    <row r="28">
      <c r="B28" s="961" t="n"/>
      <c r="C28" s="962" t="n"/>
      <c r="D28" s="86" t="inlineStr">
        <is>
          <t>Subtotal</t>
        </is>
      </c>
      <c r="E28" s="80">
        <f>SUM(E26:E27)</f>
        <v/>
      </c>
    </row>
    <row r="29">
      <c r="B29" s="961" t="n"/>
      <c r="C29" s="962" t="n"/>
      <c r="D29" s="86" t="inlineStr">
        <is>
          <t>Promedio</t>
        </is>
      </c>
      <c r="E29" s="80">
        <f>ROUND((E28/2),-3)</f>
        <v/>
      </c>
    </row>
    <row r="30">
      <c r="B30" s="961" t="n"/>
      <c r="C30" s="962" t="n"/>
      <c r="D30" s="83" t="n">
        <v>0.75</v>
      </c>
      <c r="E30" s="79">
        <f>ROUND(+E29*D30,-3)</f>
        <v/>
      </c>
      <c r="F30" s="1000" t="n"/>
    </row>
    <row r="31">
      <c r="B31" s="961" t="n"/>
      <c r="C31" s="962" t="n"/>
      <c r="D31" s="24" t="inlineStr">
        <is>
          <t>Menos: retenciones en la fuente</t>
        </is>
      </c>
      <c r="E31" s="79">
        <f>+E9</f>
        <v/>
      </c>
    </row>
    <row r="32">
      <c r="B32" s="961" t="n"/>
      <c r="C32" s="962" t="n"/>
      <c r="D32" s="86" t="inlineStr">
        <is>
          <t>Anticipo método del promedio</t>
        </is>
      </c>
      <c r="E32" s="80">
        <f>IF(E6=3,IF(E30-E31&gt;0,E30-E31,0),0)</f>
        <v/>
      </c>
    </row>
    <row r="33">
      <c r="B33" s="961" t="n"/>
      <c r="C33" s="962" t="n"/>
      <c r="D33" s="86" t="inlineStr">
        <is>
          <t>2) Método directo</t>
        </is>
      </c>
      <c r="E33" s="44" t="n"/>
    </row>
    <row r="34">
      <c r="B34" s="961" t="n"/>
      <c r="C34" s="962" t="n"/>
      <c r="D34" s="24">
        <f>D27</f>
        <v/>
      </c>
      <c r="E34" s="79">
        <f>+E7</f>
        <v/>
      </c>
    </row>
    <row r="35">
      <c r="B35" s="961" t="n"/>
      <c r="C35" s="962" t="n"/>
      <c r="D35" s="83" t="n">
        <v>0.75</v>
      </c>
      <c r="E35" s="79">
        <f>ROUND(+E34*D35,-3)</f>
        <v/>
      </c>
    </row>
    <row r="36">
      <c r="B36" s="961" t="n"/>
      <c r="C36" s="962" t="n"/>
      <c r="D36" s="24" t="inlineStr">
        <is>
          <t>Menos: retenciones en la fuente</t>
        </is>
      </c>
      <c r="E36" s="79">
        <f>+E9</f>
        <v/>
      </c>
    </row>
    <row r="37">
      <c r="B37" s="961" t="n"/>
      <c r="C37" s="962" t="n"/>
      <c r="D37" s="86" t="inlineStr">
        <is>
          <t>Anticipo método directo</t>
        </is>
      </c>
      <c r="E37" s="80">
        <f>IF(E6=3,IF(E35-E36&gt;0,E35-E36,0),0)</f>
        <v/>
      </c>
    </row>
    <row r="38">
      <c r="B38" s="961" t="n"/>
      <c r="C38" s="965" t="n"/>
      <c r="D38" s="43" t="inlineStr">
        <is>
          <t>Total anticipo para el año 2026</t>
        </is>
      </c>
      <c r="E38" s="80">
        <f>IF(E32&gt;E37,E37,E32)</f>
        <v/>
      </c>
    </row>
    <row r="39">
      <c r="B39" s="961" t="n"/>
      <c r="C39" s="27" t="n"/>
      <c r="D39" s="27" t="n"/>
      <c r="E39" s="28" t="n"/>
    </row>
    <row r="40">
      <c r="B40" s="963" t="n"/>
      <c r="C40" s="78" t="inlineStr">
        <is>
          <t>Valor anticipo definitivo para el impuesto de renta año 2026</t>
        </is>
      </c>
      <c r="D40" s="45" t="n"/>
      <c r="E40" s="1148">
        <f>IF(E10&gt;0,E10,IF(E24&gt;0,E24,IF(E38&gt;0,E38,0)))</f>
        <v/>
      </c>
    </row>
  </sheetData>
  <mergeCells count="11">
    <mergeCell ref="B1:E1"/>
    <mergeCell ref="C6:D6"/>
    <mergeCell ref="C25:C38"/>
    <mergeCell ref="D19:E19"/>
    <mergeCell ref="D11:E11"/>
    <mergeCell ref="C5:D5"/>
    <mergeCell ref="C7:C10"/>
    <mergeCell ref="C11:C24"/>
    <mergeCell ref="C3:D3"/>
    <mergeCell ref="B5:B40"/>
    <mergeCell ref="C4:D4"/>
  </mergeCells>
  <conditionalFormatting sqref="E18">
    <cfRule type="cellIs" priority="1" operator="between" stopIfTrue="1">
      <formula>#REF!</formula>
      <formula>#REF!</formula>
    </cfRule>
  </conditionalFormatting>
  <hyperlinks>
    <hyperlink ref="B5" location="'FORMULARIO 210'!Y51" display="Renglón 134"/>
  </hyperlinks>
  <pageMargins left="0.7" right="0.7" top="0.75" bottom="0.75" header="0.3" footer="0.3"/>
  <pageSetup orientation="portrait" scale="7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Cesar Anzola</dc:creator>
  <dcterms:created xmlns:dcterms="http://purl.org/dc/terms/" xmlns:xsi="http://www.w3.org/2001/XMLSchema-instance" xsi:type="dcterms:W3CDTF">2008-09-09T15:22:21Z</dcterms:created>
  <dcterms:modified xmlns:dcterms="http://purl.org/dc/terms/" xmlns:xsi="http://www.w3.org/2001/XMLSchema-instance" xsi:type="dcterms:W3CDTF">2026-07-28T23:00:38Z</dcterms:modified>
  <cp:lastModifiedBy>Cesar Evelio Anzola Aguilar</cp:lastModifiedBy>
  <cp:lastPrinted>2019-06-11T16:34:56Z</cp:lastPrinted>
</cp:coreProperties>
</file>